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Ladder" sheetId="3" state="visible" r:id="rId3"/>
    <sheet xmlns:r="http://schemas.openxmlformats.org/officeDocument/2006/relationships" name="Stage VI" sheetId="4" state="visible" r:id="rId4"/>
    <sheet xmlns:r="http://schemas.openxmlformats.org/officeDocument/2006/relationships" name="Uncertainty" sheetId="5" state="visible" r:id="rId5"/>
    <sheet xmlns:r="http://schemas.openxmlformats.org/officeDocument/2006/relationships" name="Register" sheetId="6" state="visible" r:id="rId6"/>
  </sheets>
  <definedNames>
    <definedName name="prod_mld">Inputs!$C$2</definedName>
    <definedName name="nrw">Inputs!$C$3</definedName>
    <definedName name="sewage_mld">Inputs!$C$4</definedName>
    <definedName name="treated_mld">Inputs!$C$5</definedName>
    <definedName name="return_factor">Inputs!$C$6</definedName>
    <definedName name="nrw_phys_share">Inputs!$C$7</definedName>
    <definedName name="nrw_efficient">Inputs!$C$8</definedName>
    <definedName name="opex_cr_m">Inputs!$C$9</definedName>
    <definedName name="energy_cr_m">Inputs!$C$10</definedName>
    <definedName name="electricity_rs_kwh">Inputs!$C$11</definedName>
    <definedName name="sew_energy_cr_m">Inputs!$C$12</definedName>
    <definedName name="sew_share_other">Inputs!$C$13</definedName>
    <definedName name="revenue_cr_m">Inputs!$C$14</definedName>
    <definedName name="opex_index">Inputs!$C$15</definedName>
    <definedName name="upgrade_rs_kl">Inputs!$C$16</definedName>
    <definedName name="stp_cr_mld">Inputs!$C$17</definedName>
    <definedName name="return_on">Inputs!$C$18</definedName>
    <definedName name="polish_rs_kl">Inputs!$C$19</definedName>
    <definedName name="ret_cr_mld">Inputs!$C$20</definedName>
    <definedName name="ret_kwh">Inputs!$C$21</definedName>
    <definedName name="ret_om_rs_kl">Inputs!$C$22</definedName>
    <definedName name="decentral_mld">Inputs!$C$23</definedName>
    <definedName name="bulk_cap_mld">Inputs!$C$24</definedName>
    <definedName name="bulk_cr_mld">Inputs!$C$25</definedName>
    <definedName name="dist_km">Inputs!$C$26</definedName>
    <definedName name="dist_cr_km">Inputs!$C$27</definedName>
    <definedName name="misc_cr">Inputs!$C$28</definedName>
    <definedName name="sewer_km">Inputs!$C$29</definedName>
    <definedName name="sewer_cr_km">Inputs!$C$30</definedName>
    <definedName name="life_bulk">Inputs!$C$31</definedName>
    <definedName name="life_sewer">Inputs!$C$32</definedName>
    <definedName name="life_stp">Inputs!$C$33</definedName>
    <definedName name="life_misc">Inputs!$C$34</definedName>
    <definedName name="tariff_escalation">Inputs!$C$35</definedName>
    <definedName name="wacc_real">Inputs!$C$36</definedName>
    <definedName name="grant_share">Inputs!$C$37</definedName>
    <definedName name="reserve_pct">Inputs!$C$38</definedName>
    <definedName name="gsec_10y">Inputs!$C$39</definedName>
    <definedName name="muni_coupon">Inputs!$C$40</definedName>
    <definedName name="amrut_central_share">Inputs!$C$41</definedName>
    <definedName name="rab_hist_cr">Inputs!$C$42</definedName>
    <definedName name="reg_wacc_nom">Inputs!$C$43</definedName>
    <definedName name="reg_dep">Inputs!$C$44</definedName>
    <definedName name="cpi">Inputs!$C$45</definedName>
    <definedName name="jica_rate">Inputs!$C$46</definedName>
    <definedName name="capex_cr">Inputs!$C$47</definedName>
    <definedName name="overrun">Inputs!$C$48</definedName>
    <definedName name="pf_mld">Inputs!$C$49</definedName>
    <definedName name="build_yrs">Inputs!$C$50</definedName>
    <definedName name="pf_life_yrs">Inputs!$C$51</definedName>
    <definedName name="power_rs_kl">Inputs!$C$52</definedName>
    <definedName name="fixed_cr_yr">Inputs!$C$53</definedName>
    <definedName name="insurance">Inputs!$C$54</definedName>
    <definedName name="inr_jpy_dep">Inputs!$C$55</definedName>
    <definedName name="tax">Inputs!$C$56</definedName>
    <definedName name="bond_rate">Inputs!$C$57</definedName>
    <definedName name="ham_rate">Inputs!$C$58</definedName>
    <definedName name="ppp_equity">Inputs!$C$59</definedName>
    <definedName name="ngt_cr_mld">Inputs!$C$60</definedName>
    <definedName name="catchment_rs_kl">Inputs!$C$61</definedName>
    <definedName name="basin_loss">Inputs!$C$62</definedName>
    <definedName name="raw_oc_rs_kl">Inputs!$C$63</definedName>
    <definedName name="lrmc_cr_mld">Inputs!$C$64</definedName>
    <definedName name="gw_share">Inputs!$C$65</definedName>
    <definedName name="grid_ef">Inputs!$C$66</definedName>
    <definedName name="scc_usd">Inputs!$C$67</definedName>
    <definedName name="fx">Inputs!$C$68</definedName>
    <definedName name="residual_rs_kl">Inputs!$C$69</definedName>
    <definedName name="re_share">Inputs!$C$70</definedName>
    <definedName name="fixed_charge">Inputs!$C$71</definedName>
    <definedName name="b1_top">Inputs!$C$72</definedName>
    <definedName name="b1_rate">Inputs!$C$73</definedName>
    <definedName name="b2_top">Inputs!$C$74</definedName>
    <definedName name="b2_rate">Inputs!$C$75</definedName>
    <definedName name="b3_top">Inputs!$C$76</definedName>
    <definedName name="b3_rate">Inputs!$C$77</definedName>
    <definedName name="b4_rate">Inputs!$C$78</definedName>
    <definedName name="connections_lakh">Inputs!$C$79</definedName>
    <definedName name="hh_size">Inputs!$C$80</definedName>
    <definedName name="lpcd_norm">Inputs!$C$81</definedName>
    <definedName name="hh_income_low">Inputs!$C$82</definedName>
    <definedName name="hh_income_mid">Inputs!$C$83</definedName>
    <definedName name="afford_pct">Inputs!$C$84</definedName>
    <definedName name="tanker_rs_kl">Inputs!$C$85</definedName>
    <definedName name="sanchari_rs_kl">Inputs!$C$86</definedName>
    <definedName name="prod_kl">Ladder!$B$2</definedName>
    <definedName name="billed_kl">Ladder!$B$3</definedName>
    <definedName name="sew_kl">Ladder!$B$4</definedName>
    <definedName name="treated_kl">Ladder!$B$5</definedName>
    <definedName name="prod_scale">Ladder!$B$6</definedName>
    <definedName name="energy_m">Ladder!$B$7</definedName>
    <definedName name="opex_m">Ladder!$B$8</definedName>
    <definedName name="hh20">Ladder!$B$9</definedName>
    <definedName name="avg_rev">Ladder!$B$10</definedName>
    <definedName name="cash">Ladder!$B$11</definedName>
    <definedName name="cash_prod">Ladder!$B$12</definedName>
    <definedName name="sew_opex">Ladder!$B$13</definedName>
    <definedName name="sew_unit">Ladder!$B$14</definedName>
    <definedName name="l_water_om">Ladder!$B$15</definedName>
    <definedName name="crf_bulk">Ladder!$B$16</definedName>
    <definedName name="crf_misc">Ladder!$B$17</definedName>
    <definedName name="crf_sewer">Ladder!$B$18</definedName>
    <definedName name="crf_stp">Ladder!$B$19</definedName>
    <definedName name="c_bulk">Ladder!$B$20</definedName>
    <definedName name="c_dist">Ladder!$B$21</definedName>
    <definedName name="c_misc">Ladder!$B$22</definedName>
    <definedName name="l_water_cap">Ladder!$B$23</definedName>
    <definedName name="l_sew_om">Ladder!$B$24</definedName>
    <definedName name="l_sew_cap">Ladder!$B$25</definedName>
    <definedName name="l_polish">Ladder!$B$26</definedName>
    <definedName name="l_convey">Ladder!$B$27</definedName>
    <definedName name="l_reserve">Ladder!$B$28</definedName>
    <definedName name="financial">Ladder!$B$29</definedName>
    <definedName name="lost">Ladder!$B$30</definedName>
    <definedName name="l_raw">Ladder!$B$31</definedName>
    <definedName name="l_catch">Ladder!$B$32</definedName>
    <definedName name="economic">Ladder!$B$33</definedName>
    <definedName name="water_kwh">Ladder!$B$34</definedName>
    <definedName name="sew_kwh">Ladder!$B$35</definedName>
    <definedName name="kwh_billed">Ladder!$B$36</definedName>
    <definedName name="l_carbon">Ladder!$B$37</definedName>
    <definedName name="l_residual">Ladder!$B$38</definedName>
    <definedName name="social">Ladder!$B$39</definedName>
    <definedName name="fin_deliv">Ladder!$B$40</definedName>
    <definedName name="fin_eff">Ladder!$B$41</definedName>
    <definedName name="regulator">Ladder!$B$42</definedName>
    <definedName name="gap_mld">Ladder!$B$43</definedName>
    <definedName name="today_damage">Ladder!$B$44</definedName>
    <definedName name="rev_req">Ladder!$B$45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b val="1"/>
      <sz val="13"/>
    </font>
    <font>
      <sz val="11"/>
    </font>
    <font>
      <b val="1"/>
      <color rgb="00FFFFFF"/>
    </font>
    <font>
      <b val="1"/>
    </font>
    <font>
      <b val="1"/>
      <sz val="12"/>
    </font>
  </fonts>
  <fills count="4">
    <fill>
      <patternFill/>
    </fill>
    <fill>
      <patternFill patternType="gray125"/>
    </fill>
    <fill>
      <patternFill patternType="solid">
        <fgColor rgb="000F2236"/>
      </patternFill>
    </fill>
    <fill>
      <patternFill patternType="solid">
        <fgColor rgb="00E7F3F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3" borderId="0" pivotButton="0" quotePrefix="0" xfId="0"/>
    <xf numFmtId="4" fontId="0" fillId="0" borderId="0" pivotButton="0" quotePrefix="0" xfId="0"/>
    <xf numFmtId="0" fontId="4" fillId="0" borderId="0" pivotButton="0" quotePrefix="0" xfId="0"/>
    <xf numFmtId="4" fontId="4" fillId="0" borderId="0" pivotButton="0" quotePrefix="0" xfId="0"/>
    <xf numFmtId="0" fontId="5" fillId="0"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1" t="inlineStr">
        <is>
          <t>What should a kilolitre of water cost in Bengaluru? Model, FY2026-27, real rupees.</t>
        </is>
      </c>
    </row>
    <row r="2">
      <c r="A2" s="2" t="inlineStr">
        <is>
          <t>Prepared by Urvara for discussion with S. Vishwanath, Biome Environmental Trust. 30 October 2026.</t>
        </is>
      </c>
    </row>
    <row r="3">
      <c r="A3" s="2" t="inlineStr"/>
    </row>
    <row r="4">
      <c r="A4" s="2" t="inlineStr">
        <is>
          <t>Sheets</t>
        </is>
      </c>
    </row>
    <row r="5">
      <c r="A5" s="2" t="inlineStr">
        <is>
          <t>Inputs: every assumption, as a named cell. Change the blue cells; everything else recalculates.</t>
        </is>
      </c>
    </row>
    <row r="6">
      <c r="A6" s="2" t="inlineStr">
        <is>
          <t>Ladder: the price ladder, line by line, with the same formulas as the interactive page.</t>
        </is>
      </c>
    </row>
    <row r="7">
      <c r="A7" s="2" t="inlineStr">
        <is>
          <t>Stage VI: project-finance view of Cauvery Stage VI, nominal annual cash flows, four financing structures (levelised tariffs live; lender tests copied from the page model).</t>
        </is>
      </c>
    </row>
    <row r="8">
      <c r="A8" s="2" t="inlineStr">
        <is>
          <t>Uncertainty: P10-P90 from 3,000 Monte Carlo runs and one-at-a-time sensitivities (values from the page model; rerun there after changing inputs).</t>
        </is>
      </c>
    </row>
    <row r="9">
      <c r="A9" s="2" t="inlineStr">
        <is>
          <t>Register: every assumption with why it was chosen, its tolerance range and its sources.</t>
        </is>
      </c>
    </row>
    <row r="10">
      <c r="A10" s="2" t="inlineStr"/>
    </row>
    <row r="11">
      <c r="A11" s="2" t="inlineStr">
        <is>
          <t>Conventions</t>
        </is>
      </c>
    </row>
    <row r="12">
      <c r="A12" s="2" t="inlineStr">
        <is>
          <t>All ₹/kL figures are per kL billed to a customer unless labelled otherwise. 1 crore = 10,000,000. 1 MLD for a year = 365,000 kL.</t>
        </is>
      </c>
    </row>
    <row r="13">
      <c r="A13" s="2" t="inlineStr">
        <is>
          <t>Capital is counted once: replacement cost x capital recovery factor at a real cost of capital, CRF = r / (1 - (1+r)^-n).</t>
        </is>
      </c>
    </row>
    <row r="14">
      <c r="A14" s="2" t="inlineStr">
        <is>
          <t>Rungs follow Rogers, Bhatia &amp; Huber (1998): full supply cost (financial), full economic cost, full cost (social).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12" customWidth="1" min="3" max="3"/>
    <col width="10" customWidth="1" min="4" max="4"/>
    <col width="10" customWidth="1" min="5" max="5"/>
    <col width="18" customWidth="1" min="6" max="6"/>
    <col width="10" customWidth="1" min="7" max="7"/>
    <col width="34" customWidth="1" min="8" max="8"/>
  </cols>
  <sheetData>
    <row r="1">
      <c r="A1" s="3" t="inlineStr">
        <is>
          <t>Key</t>
        </is>
      </c>
      <c r="B1" s="3" t="inlineStr">
        <is>
          <t>Assumption</t>
        </is>
      </c>
      <c r="C1" s="3" t="inlineStr">
        <is>
          <t>Value</t>
        </is>
      </c>
      <c r="D1" s="3" t="inlineStr">
        <is>
          <t>Low</t>
        </is>
      </c>
      <c r="E1" s="3" t="inlineStr">
        <is>
          <t>High</t>
        </is>
      </c>
      <c r="F1" s="3" t="inlineStr">
        <is>
          <t>Unit</t>
        </is>
      </c>
      <c r="G1" s="3" t="inlineStr">
        <is>
          <t>Type</t>
        </is>
      </c>
      <c r="H1" s="3" t="inlineStr">
        <is>
          <t>Group</t>
        </is>
      </c>
    </row>
    <row r="2">
      <c r="A2" t="inlineStr">
        <is>
          <t>prod_mld</t>
        </is>
      </c>
      <c r="B2" t="inlineStr">
        <is>
          <t>Cauvery water treated and pumped</t>
        </is>
      </c>
      <c r="C2" s="4" t="n">
        <v>1900</v>
      </c>
      <c r="D2" t="n">
        <v>1650</v>
      </c>
      <c r="E2" t="n">
        <v>2225</v>
      </c>
      <c r="F2" t="inlineStr">
        <is>
          <t>MLD</t>
        </is>
      </c>
      <c r="G2" t="inlineStr">
        <is>
          <t>sourced</t>
        </is>
      </c>
      <c r="H2" t="inlineStr">
        <is>
          <t>Volumes</t>
        </is>
      </c>
    </row>
    <row r="3">
      <c r="A3" t="inlineStr">
        <is>
          <t>nrw</t>
        </is>
      </c>
      <c r="B3" t="inlineStr">
        <is>
          <t>Non-revenue water</t>
        </is>
      </c>
      <c r="C3" s="4" t="n">
        <v>0.3</v>
      </c>
      <c r="D3" t="n">
        <v>0.265</v>
      </c>
      <c r="E3" t="n">
        <v>0.4</v>
      </c>
      <c r="F3" t="inlineStr">
        <is>
          <t>share</t>
        </is>
      </c>
      <c r="G3" t="inlineStr">
        <is>
          <t>sourced</t>
        </is>
      </c>
      <c r="H3" t="inlineStr">
        <is>
          <t>Volumes</t>
        </is>
      </c>
    </row>
    <row r="4">
      <c r="A4" t="inlineStr">
        <is>
          <t>sewage_mld</t>
        </is>
      </c>
      <c r="B4" t="inlineStr">
        <is>
          <t>Sewage generated (piped + borewell water)</t>
        </is>
      </c>
      <c r="C4" s="4" t="n">
        <v>2130</v>
      </c>
      <c r="D4" t="n">
        <v>1480</v>
      </c>
      <c r="E4" t="n">
        <v>2580</v>
      </c>
      <c r="F4" t="inlineStr">
        <is>
          <t>MLD</t>
        </is>
      </c>
      <c r="G4" t="inlineStr">
        <is>
          <t>sourced</t>
        </is>
      </c>
      <c r="H4" t="inlineStr">
        <is>
          <t>Volumes</t>
        </is>
      </c>
    </row>
    <row r="5">
      <c r="A5" t="inlineStr">
        <is>
          <t>treated_mld</t>
        </is>
      </c>
      <c r="B5" t="inlineStr">
        <is>
          <t>Sewage actually treated today</t>
        </is>
      </c>
      <c r="C5" s="4" t="n">
        <v>1213</v>
      </c>
      <c r="D5" t="n">
        <v>1213</v>
      </c>
      <c r="E5" t="n">
        <v>1300</v>
      </c>
      <c r="F5" t="inlineStr">
        <is>
          <t>MLD</t>
        </is>
      </c>
      <c r="G5" t="inlineStr">
        <is>
          <t>sourced</t>
        </is>
      </c>
      <c r="H5" t="inlineStr">
        <is>
          <t>Volumes</t>
        </is>
      </c>
    </row>
    <row r="6">
      <c r="A6" t="inlineStr">
        <is>
          <t>return_factor</t>
        </is>
      </c>
      <c r="B6" t="inlineStr">
        <is>
          <t>Sewage returned per kL of water used</t>
        </is>
      </c>
      <c r="C6" s="4" t="n">
        <v>0.8</v>
      </c>
      <c r="D6" t="n">
        <v>0.7</v>
      </c>
      <c r="E6" t="n">
        <v>0.85</v>
      </c>
      <c r="F6" t="inlineStr">
        <is>
          <t>kL/kL</t>
        </is>
      </c>
      <c r="G6" t="inlineStr">
        <is>
          <t>assumed</t>
        </is>
      </c>
      <c r="H6" t="inlineStr">
        <is>
          <t>Volumes</t>
        </is>
      </c>
    </row>
    <row r="7">
      <c r="A7" t="inlineStr">
        <is>
          <t>nrw_phys_share</t>
        </is>
      </c>
      <c r="B7" t="inlineStr">
        <is>
          <t>Share of non-revenue water that is physical leakage</t>
        </is>
      </c>
      <c r="C7" s="4" t="n">
        <v>0.5</v>
      </c>
      <c r="D7" t="n">
        <v>0.5</v>
      </c>
      <c r="E7" t="n">
        <v>0.5</v>
      </c>
      <c r="F7" t="inlineStr">
        <is>
          <t>share of NRW</t>
        </is>
      </c>
      <c r="G7" t="inlineStr">
        <is>
          <t>sourced</t>
        </is>
      </c>
      <c r="H7" t="inlineStr">
        <is>
          <t>Volumes</t>
        </is>
      </c>
    </row>
    <row r="8">
      <c r="A8" t="inlineStr">
        <is>
          <t>nrw_efficient</t>
        </is>
      </c>
      <c r="B8" t="inlineStr">
        <is>
          <t>Efficient NRW a regulator would allow in tariffs</t>
        </is>
      </c>
      <c r="C8" s="4" t="n">
        <v>0.2</v>
      </c>
      <c r="D8" t="n">
        <v>0.2</v>
      </c>
      <c r="E8" t="n">
        <v>0.2</v>
      </c>
      <c r="F8" t="inlineStr">
        <is>
          <t>share</t>
        </is>
      </c>
      <c r="G8" t="inlineStr">
        <is>
          <t>policy</t>
        </is>
      </c>
      <c r="H8" t="inlineStr">
        <is>
          <t>Volumes</t>
        </is>
      </c>
    </row>
    <row r="9">
      <c r="A9" t="inlineStr">
        <is>
          <t>opex_cr_m</t>
        </is>
      </c>
      <c r="B9" t="inlineStr">
        <is>
          <t>BWSSB operating spend (Aug 2025)</t>
        </is>
      </c>
      <c r="C9" s="4" t="n">
        <v>239.4</v>
      </c>
      <c r="D9" t="n">
        <v>225</v>
      </c>
      <c r="E9" t="n">
        <v>255</v>
      </c>
      <c r="F9" t="inlineStr">
        <is>
          <t>₹ cr/month</t>
        </is>
      </c>
      <c r="G9" t="inlineStr">
        <is>
          <t>sourced</t>
        </is>
      </c>
      <c r="H9" t="inlineStr">
        <is>
          <t>What BWSSB spends today</t>
        </is>
      </c>
    </row>
    <row r="10">
      <c r="A10" t="inlineStr">
        <is>
          <t>energy_cr_m</t>
        </is>
      </c>
      <c r="B10" t="inlineStr">
        <is>
          <t>of which electricity</t>
        </is>
      </c>
      <c r="C10" s="4" t="n">
        <v>124</v>
      </c>
      <c r="D10" t="n">
        <v>115</v>
      </c>
      <c r="E10" t="n">
        <v>130</v>
      </c>
      <c r="F10" t="inlineStr">
        <is>
          <t>₹ cr/month</t>
        </is>
      </c>
      <c r="G10" t="inlineStr">
        <is>
          <t>sourced</t>
        </is>
      </c>
      <c r="H10" t="inlineStr">
        <is>
          <t>What BWSSB spends today</t>
        </is>
      </c>
    </row>
    <row r="11">
      <c r="A11" t="inlineStr">
        <is>
          <t>electricity_rs_kwh</t>
        </is>
      </c>
      <c r="B11" t="inlineStr">
        <is>
          <t>BWSSB's all-in power price</t>
        </is>
      </c>
      <c r="C11" s="4" t="n">
        <v>7</v>
      </c>
      <c r="D11" t="n">
        <v>6.5</v>
      </c>
      <c r="E11" t="n">
        <v>8.4</v>
      </c>
      <c r="F11" t="inlineStr">
        <is>
          <t>₹/kWh</t>
        </is>
      </c>
      <c r="G11" t="inlineStr">
        <is>
          <t>derived</t>
        </is>
      </c>
      <c r="H11" t="inlineStr">
        <is>
          <t>What BWSSB spends today</t>
        </is>
      </c>
    </row>
    <row r="12">
      <c r="A12" t="inlineStr">
        <is>
          <t>sew_energy_cr_m</t>
        </is>
      </c>
      <c r="B12" t="inlineStr">
        <is>
          <t>Electricity for sewers and STPs</t>
        </is>
      </c>
      <c r="C12" s="4" t="n">
        <v>10.3</v>
      </c>
      <c r="D12" t="n">
        <v>7.5</v>
      </c>
      <c r="E12" t="n">
        <v>13</v>
      </c>
      <c r="F12" t="inlineStr">
        <is>
          <t>₹ cr/month</t>
        </is>
      </c>
      <c r="G12" t="inlineStr">
        <is>
          <t>assumed</t>
        </is>
      </c>
      <c r="H12" t="inlineStr">
        <is>
          <t>What BWSSB spends today</t>
        </is>
      </c>
    </row>
    <row r="13">
      <c r="A13" t="inlineStr">
        <is>
          <t>sew_share_other</t>
        </is>
      </c>
      <c r="B13" t="inlineStr">
        <is>
          <t>Share of non-power opex that is sewerage (assumed)</t>
        </is>
      </c>
      <c r="C13" s="4" t="n">
        <v>0.25</v>
      </c>
      <c r="D13" t="n">
        <v>0.15</v>
      </c>
      <c r="E13" t="n">
        <v>0.35</v>
      </c>
      <c r="F13" t="inlineStr">
        <is>
          <t>share</t>
        </is>
      </c>
      <c r="G13" t="inlineStr">
        <is>
          <t>assumed</t>
        </is>
      </c>
      <c r="H13" t="inlineStr">
        <is>
          <t>What BWSSB spends today</t>
        </is>
      </c>
    </row>
    <row r="14">
      <c r="A14" t="inlineStr">
        <is>
          <t>revenue_cr_m</t>
        </is>
      </c>
      <c r="B14" t="inlineStr">
        <is>
          <t>BWSSB water and sewerage revenue</t>
        </is>
      </c>
      <c r="C14" s="4" t="n">
        <v>182</v>
      </c>
      <c r="D14" t="n">
        <v>175</v>
      </c>
      <c r="E14" t="n">
        <v>200</v>
      </c>
      <c r="F14" t="inlineStr">
        <is>
          <t>₹ cr/month</t>
        </is>
      </c>
      <c r="G14" t="inlineStr">
        <is>
          <t>sourced</t>
        </is>
      </c>
      <c r="H14" t="inlineStr">
        <is>
          <t>What BWSSB spends today</t>
        </is>
      </c>
    </row>
    <row r="15">
      <c r="A15" t="inlineStr">
        <is>
          <t>opex_index</t>
        </is>
      </c>
      <c r="B15" t="inlineStr">
        <is>
          <t>Indexing Aug 2025 operating spend to FY27 rupees</t>
        </is>
      </c>
      <c r="C15" s="4" t="n">
        <v>1.025</v>
      </c>
      <c r="D15" t="n">
        <v>1</v>
      </c>
      <c r="E15" t="n">
        <v>1.05</v>
      </c>
      <c r="F15" t="inlineStr">
        <is>
          <t>multiplier</t>
        </is>
      </c>
      <c r="G15" t="inlineStr">
        <is>
          <t>derived</t>
        </is>
      </c>
      <c r="H15" t="inlineStr">
        <is>
          <t>What BWSSB spends today</t>
        </is>
      </c>
    </row>
    <row r="16">
      <c r="A16" t="inlineStr">
        <is>
          <t>upgrade_rs_kl</t>
        </is>
      </c>
      <c r="B16" t="inlineStr">
        <is>
          <t>Extra O&amp;M for nutrient removal and polishing</t>
        </is>
      </c>
      <c r="C16" s="4" t="n">
        <v>3</v>
      </c>
      <c r="D16" t="n">
        <v>2</v>
      </c>
      <c r="E16" t="n">
        <v>5</v>
      </c>
      <c r="F16" t="inlineStr">
        <is>
          <t>₹/kL sewage</t>
        </is>
      </c>
      <c r="G16" t="inlineStr">
        <is>
          <t>derived</t>
        </is>
      </c>
      <c r="H16" t="inlineStr">
        <is>
          <t>Getting sewage back clean</t>
        </is>
      </c>
    </row>
    <row r="17">
      <c r="A17" t="inlineStr">
        <is>
          <t>stp_cr_mld</t>
        </is>
      </c>
      <c r="B17" t="inlineStr">
        <is>
          <t>STP cost to NGT norms (BWSSB 2025 tender: 3.87)</t>
        </is>
      </c>
      <c r="C17" s="4" t="n">
        <v>3.9</v>
      </c>
      <c r="D17" t="n">
        <v>2.9</v>
      </c>
      <c r="E17" t="n">
        <v>5.2</v>
      </c>
      <c r="F17" t="inlineStr">
        <is>
          <t>₹ cr/MLD</t>
        </is>
      </c>
      <c r="G17" t="inlineStr">
        <is>
          <t>sourced</t>
        </is>
      </c>
      <c r="H17" t="inlineStr">
        <is>
          <t>Getting sewage back clean</t>
        </is>
      </c>
    </row>
    <row r="18">
      <c r="A18" t="inlineStr">
        <is>
          <t>return_on</t>
        </is>
      </c>
      <c r="B18" t="inlineStr">
        <is>
          <t>Send the cleaned water back to the Cauvery</t>
        </is>
      </c>
      <c r="C18" s="4" t="n">
        <v>1</v>
      </c>
      <c r="D18" t="n">
        <v>1</v>
      </c>
      <c r="E18" t="n">
        <v>1</v>
      </c>
      <c r="F18" t="inlineStr">
        <is>
          <t>switch</t>
        </is>
      </c>
      <c r="G18" t="inlineStr">
        <is>
          <t>policy</t>
        </is>
      </c>
      <c r="H18" t="inlineStr">
        <is>
          <t>Getting sewage back clean</t>
        </is>
      </c>
    </row>
    <row r="19">
      <c r="A19" t="inlineStr">
        <is>
          <t>polish_rs_kl</t>
        </is>
      </c>
      <c r="B19" t="inlineStr">
        <is>
          <t>Extra cleaning to river quality, beyond NGT norms</t>
        </is>
      </c>
      <c r="C19" s="4" t="n">
        <v>7</v>
      </c>
      <c r="D19" t="n">
        <v>4</v>
      </c>
      <c r="E19" t="n">
        <v>12</v>
      </c>
      <c r="F19" t="inlineStr">
        <is>
          <t>₹/kL sewage</t>
        </is>
      </c>
      <c r="G19" t="inlineStr">
        <is>
          <t>derived</t>
        </is>
      </c>
      <c r="H19" t="inlineStr">
        <is>
          <t>Getting sewage back clean</t>
        </is>
      </c>
    </row>
    <row r="20">
      <c r="A20" t="inlineStr">
        <is>
          <t>ret_cr_mld</t>
        </is>
      </c>
      <c r="B20" t="inlineStr">
        <is>
          <t>Return pipelines and pumps, per MLD carried</t>
        </is>
      </c>
      <c r="C20" s="4" t="n">
        <v>3.75</v>
      </c>
      <c r="D20" t="n">
        <v>3.05</v>
      </c>
      <c r="E20" t="n">
        <v>4.5</v>
      </c>
      <c r="F20" t="inlineStr">
        <is>
          <t>₹ cr/MLD</t>
        </is>
      </c>
      <c r="G20" t="inlineStr">
        <is>
          <t>derived</t>
        </is>
      </c>
      <c r="H20" t="inlineStr">
        <is>
          <t>Getting sewage back clean</t>
        </is>
      </c>
    </row>
    <row r="21">
      <c r="A21" t="inlineStr">
        <is>
          <t>ret_kwh</t>
        </is>
      </c>
      <c r="B21" t="inlineStr">
        <is>
          <t>Pumping the eastern valleys' water over the ridge</t>
        </is>
      </c>
      <c r="C21" s="4" t="n">
        <v>0.35</v>
      </c>
      <c r="D21" t="n">
        <v>0.15</v>
      </c>
      <c r="E21" t="n">
        <v>0.5</v>
      </c>
      <c r="F21" t="inlineStr">
        <is>
          <t>kWh/kL</t>
        </is>
      </c>
      <c r="G21" t="inlineStr">
        <is>
          <t>assumed</t>
        </is>
      </c>
      <c r="H21" t="inlineStr">
        <is>
          <t>Getting sewage back clean</t>
        </is>
      </c>
    </row>
    <row r="22">
      <c r="A22" t="inlineStr">
        <is>
          <t>ret_om_rs_kl</t>
        </is>
      </c>
      <c r="B22" t="inlineStr">
        <is>
          <t>Running the return pipelines, excluding power</t>
        </is>
      </c>
      <c r="C22" s="4" t="n">
        <v>1</v>
      </c>
      <c r="D22" t="n">
        <v>0.5</v>
      </c>
      <c r="E22" t="n">
        <v>2</v>
      </c>
      <c r="F22" t="inlineStr">
        <is>
          <t>₹/kL</t>
        </is>
      </c>
      <c r="G22" t="inlineStr">
        <is>
          <t>assumed</t>
        </is>
      </c>
      <c r="H22" t="inlineStr">
        <is>
          <t>Getting sewage back clean</t>
        </is>
      </c>
    </row>
    <row r="23">
      <c r="A23" t="inlineStr">
        <is>
          <t>decentral_mld</t>
        </is>
      </c>
      <c r="B23" t="inlineStr">
        <is>
          <t>Sewage treated in apartment and campus STPs</t>
        </is>
      </c>
      <c r="C23" s="4" t="n">
        <v>250</v>
      </c>
      <c r="D23" t="n">
        <v>150</v>
      </c>
      <c r="E23" t="n">
        <v>371</v>
      </c>
      <c r="F23" t="inlineStr">
        <is>
          <t>MLD</t>
        </is>
      </c>
      <c r="G23" t="inlineStr">
        <is>
          <t>sourced</t>
        </is>
      </c>
      <c r="H23" t="inlineStr">
        <is>
          <t>Getting sewage back clean</t>
        </is>
      </c>
    </row>
    <row r="24">
      <c r="A24" t="inlineStr">
        <is>
          <t>bulk_cap_mld</t>
        </is>
      </c>
      <c r="B24" t="inlineStr">
        <is>
          <t>Bulk supply capacity, Stages I-V</t>
        </is>
      </c>
      <c r="C24" s="4" t="n">
        <v>2225</v>
      </c>
      <c r="D24" t="n">
        <v>2225</v>
      </c>
      <c r="E24" t="n">
        <v>2225</v>
      </c>
      <c r="F24" t="inlineStr">
        <is>
          <t>MLD</t>
        </is>
      </c>
      <c r="G24" t="inlineStr">
        <is>
          <t>sourced</t>
        </is>
      </c>
      <c r="H24" t="inlineStr">
        <is>
          <t>Assets at replacement cost</t>
        </is>
      </c>
    </row>
    <row r="25">
      <c r="A25" t="inlineStr">
        <is>
          <t>bulk_cr_mld</t>
        </is>
      </c>
      <c r="B25" t="inlineStr">
        <is>
          <t>Replacement cost of bulk supply (Stage V ≈ 5.6-7.1)</t>
        </is>
      </c>
      <c r="C25" s="4" t="n">
        <v>7</v>
      </c>
      <c r="D25" t="n">
        <v>5.6</v>
      </c>
      <c r="E25" t="n">
        <v>9</v>
      </c>
      <c r="F25" t="inlineStr">
        <is>
          <t>₹ cr/MLD</t>
        </is>
      </c>
      <c r="G25" t="inlineStr">
        <is>
          <t>derived</t>
        </is>
      </c>
      <c r="H25" t="inlineStr">
        <is>
          <t>Assets at replacement cost</t>
        </is>
      </c>
    </row>
    <row r="26">
      <c r="A26" t="inlineStr">
        <is>
          <t>dist_km</t>
        </is>
      </c>
      <c r="B26" t="inlineStr">
        <is>
          <t>Distribution pipes</t>
        </is>
      </c>
      <c r="C26" s="4" t="n">
        <v>14194</v>
      </c>
      <c r="D26" t="n">
        <v>14194</v>
      </c>
      <c r="E26" t="n">
        <v>14194</v>
      </c>
      <c r="F26" t="inlineStr">
        <is>
          <t>km</t>
        </is>
      </c>
      <c r="G26" t="inlineStr">
        <is>
          <t>sourced</t>
        </is>
      </c>
      <c r="H26" t="inlineStr">
        <is>
          <t>Assets at replacement cost</t>
        </is>
      </c>
    </row>
    <row r="27">
      <c r="A27" t="inlineStr">
        <is>
          <t>dist_cr_km</t>
        </is>
      </c>
      <c r="B27" t="inlineStr">
        <is>
          <t>Replacement cost of distribution, incl. reservoirs</t>
        </is>
      </c>
      <c r="C27" s="4" t="n">
        <v>0.6</v>
      </c>
      <c r="D27" t="n">
        <v>0.4</v>
      </c>
      <c r="E27" t="n">
        <v>1</v>
      </c>
      <c r="F27" t="inlineStr">
        <is>
          <t>₹ cr/km</t>
        </is>
      </c>
      <c r="G27" t="inlineStr">
        <is>
          <t>derived</t>
        </is>
      </c>
      <c r="H27" t="inlineStr">
        <is>
          <t>Assets at replacement cost</t>
        </is>
      </c>
    </row>
    <row r="28">
      <c r="A28" t="inlineStr">
        <is>
          <t>misc_cr</t>
        </is>
      </c>
      <c r="B28" t="inlineStr">
        <is>
          <t>Meters, IT, buildings, vehicles</t>
        </is>
      </c>
      <c r="C28" s="4" t="n">
        <v>1500</v>
      </c>
      <c r="D28" t="n">
        <v>1000</v>
      </c>
      <c r="E28" t="n">
        <v>2500</v>
      </c>
      <c r="F28" t="inlineStr">
        <is>
          <t>₹ cr</t>
        </is>
      </c>
      <c r="G28" t="inlineStr">
        <is>
          <t>assumed</t>
        </is>
      </c>
      <c r="H28" t="inlineStr">
        <is>
          <t>Assets at replacement cost</t>
        </is>
      </c>
    </row>
    <row r="29">
      <c r="A29" t="inlineStr">
        <is>
          <t>sewer_km</t>
        </is>
      </c>
      <c r="B29" t="inlineStr">
        <is>
          <t>Sewer network</t>
        </is>
      </c>
      <c r="C29" s="4" t="n">
        <v>11894</v>
      </c>
      <c r="D29" t="n">
        <v>8387</v>
      </c>
      <c r="E29" t="n">
        <v>14500</v>
      </c>
      <c r="F29" t="inlineStr">
        <is>
          <t>km</t>
        </is>
      </c>
      <c r="G29" t="inlineStr">
        <is>
          <t>sourced</t>
        </is>
      </c>
      <c r="H29" t="inlineStr">
        <is>
          <t>Assets at replacement cost</t>
        </is>
      </c>
    </row>
    <row r="30">
      <c r="A30" t="inlineStr">
        <is>
          <t>sewer_cr_km</t>
        </is>
      </c>
      <c r="B30" t="inlineStr">
        <is>
          <t>Replacement cost of sewers</t>
        </is>
      </c>
      <c r="C30" s="4" t="n">
        <v>0.8</v>
      </c>
      <c r="D30" t="n">
        <v>0.5</v>
      </c>
      <c r="E30" t="n">
        <v>1.5</v>
      </c>
      <c r="F30" t="inlineStr">
        <is>
          <t>₹ cr/km</t>
        </is>
      </c>
      <c r="G30" t="inlineStr">
        <is>
          <t>derived</t>
        </is>
      </c>
      <c r="H30" t="inlineStr">
        <is>
          <t>Assets at replacement cost</t>
        </is>
      </c>
    </row>
    <row r="31">
      <c r="A31" t="inlineStr">
        <is>
          <t>life_bulk</t>
        </is>
      </c>
      <c r="B31" t="inlineStr">
        <is>
          <t>Life: bulk and distribution</t>
        </is>
      </c>
      <c r="C31" s="4" t="n">
        <v>40</v>
      </c>
      <c r="D31" t="n">
        <v>30</v>
      </c>
      <c r="E31" t="n">
        <v>60</v>
      </c>
      <c r="F31" t="inlineStr">
        <is>
          <t>yr</t>
        </is>
      </c>
      <c r="G31" t="inlineStr">
        <is>
          <t>assumed</t>
        </is>
      </c>
      <c r="H31" t="inlineStr">
        <is>
          <t>Assets at replacement cost</t>
        </is>
      </c>
    </row>
    <row r="32">
      <c r="A32" t="inlineStr">
        <is>
          <t>life_sewer</t>
        </is>
      </c>
      <c r="B32" t="inlineStr">
        <is>
          <t>Life: sewers</t>
        </is>
      </c>
      <c r="C32" s="4" t="n">
        <v>50</v>
      </c>
      <c r="D32" t="n">
        <v>40</v>
      </c>
      <c r="E32" t="n">
        <v>80</v>
      </c>
      <c r="F32" t="inlineStr">
        <is>
          <t>yr</t>
        </is>
      </c>
      <c r="G32" t="inlineStr">
        <is>
          <t>assumed</t>
        </is>
      </c>
      <c r="H32" t="inlineStr">
        <is>
          <t>Assets at replacement cost</t>
        </is>
      </c>
    </row>
    <row r="33">
      <c r="A33" t="inlineStr">
        <is>
          <t>life_stp</t>
        </is>
      </c>
      <c r="B33" t="inlineStr">
        <is>
          <t>Life: STPs</t>
        </is>
      </c>
      <c r="C33" s="4" t="n">
        <v>25</v>
      </c>
      <c r="D33" t="n">
        <v>15</v>
      </c>
      <c r="E33" t="n">
        <v>30</v>
      </c>
      <c r="F33" t="inlineStr">
        <is>
          <t>yr</t>
        </is>
      </c>
      <c r="G33" t="inlineStr">
        <is>
          <t>assumed</t>
        </is>
      </c>
      <c r="H33" t="inlineStr">
        <is>
          <t>Assets at replacement cost</t>
        </is>
      </c>
    </row>
    <row r="34">
      <c r="A34" t="inlineStr">
        <is>
          <t>life_misc</t>
        </is>
      </c>
      <c r="B34" t="inlineStr">
        <is>
          <t>Life: meters and IT</t>
        </is>
      </c>
      <c r="C34" s="4" t="n">
        <v>15</v>
      </c>
      <c r="D34" t="n">
        <v>8</v>
      </c>
      <c r="E34" t="n">
        <v>20</v>
      </c>
      <c r="F34" t="inlineStr">
        <is>
          <t>yr</t>
        </is>
      </c>
      <c r="G34" t="inlineStr">
        <is>
          <t>assumed</t>
        </is>
      </c>
      <c r="H34" t="inlineStr">
        <is>
          <t>Assets at replacement cost</t>
        </is>
      </c>
    </row>
    <row r="35">
      <c r="A35" t="inlineStr">
        <is>
          <t>tariff_escalation</t>
        </is>
      </c>
      <c r="B35" t="inlineStr">
        <is>
          <t>Automatic yearly tariff rise (nominal)</t>
        </is>
      </c>
      <c r="C35" s="4" t="n">
        <v>0.03</v>
      </c>
      <c r="D35" t="n">
        <v>0.03</v>
      </c>
      <c r="E35" t="n">
        <v>0.05</v>
      </c>
      <c r="F35" t="inlineStr">
        <is>
          <t>share per yr</t>
        </is>
      </c>
      <c r="G35" t="inlineStr">
        <is>
          <t>reference</t>
        </is>
      </c>
      <c r="H35" t="inlineStr">
        <is>
          <t>Finance</t>
        </is>
      </c>
    </row>
    <row r="36">
      <c r="A36" t="inlineStr">
        <is>
          <t>wacc_real</t>
        </is>
      </c>
      <c r="B36" t="inlineStr">
        <is>
          <t>Cost of capital (real)</t>
        </is>
      </c>
      <c r="C36" s="4" t="n">
        <v>0.04</v>
      </c>
      <c r="D36" t="n">
        <v>0.02</v>
      </c>
      <c r="E36" t="n">
        <v>0.06</v>
      </c>
      <c r="F36" t="inlineStr">
        <is>
          <t>real, per yr</t>
        </is>
      </c>
      <c r="G36" t="inlineStr">
        <is>
          <t>derived</t>
        </is>
      </c>
      <c r="H36" t="inlineStr">
        <is>
          <t>Finance</t>
        </is>
      </c>
    </row>
    <row r="37">
      <c r="A37" t="inlineStr">
        <is>
          <t>grant_share</t>
        </is>
      </c>
      <c r="B37" t="inlineStr">
        <is>
          <t>Capital paid by taxpayers, not bills</t>
        </is>
      </c>
      <c r="C37" s="4" t="n">
        <v>0</v>
      </c>
      <c r="D37" t="n">
        <v>0</v>
      </c>
      <c r="E37" t="n">
        <v>0</v>
      </c>
      <c r="F37" t="inlineStr">
        <is>
          <t>share</t>
        </is>
      </c>
      <c r="G37" t="inlineStr">
        <is>
          <t>assumed</t>
        </is>
      </c>
      <c r="H37" t="inlineStr">
        <is>
          <t>Finance</t>
        </is>
      </c>
    </row>
    <row r="38">
      <c r="A38" t="inlineStr">
        <is>
          <t>reserve_pct</t>
        </is>
      </c>
      <c r="B38" t="inlineStr">
        <is>
          <t>Working capital</t>
        </is>
      </c>
      <c r="C38" s="4" t="n">
        <v>0.03</v>
      </c>
      <c r="D38" t="n">
        <v>0.02</v>
      </c>
      <c r="E38" t="n">
        <v>0.04</v>
      </c>
      <c r="F38" t="inlineStr">
        <is>
          <t>share</t>
        </is>
      </c>
      <c r="G38" t="inlineStr">
        <is>
          <t>assumed</t>
        </is>
      </c>
      <c r="H38" t="inlineStr">
        <is>
          <t>Finance</t>
        </is>
      </c>
    </row>
    <row r="39">
      <c r="A39" t="inlineStr">
        <is>
          <t>gsec_10y</t>
        </is>
      </c>
      <c r="B39" t="inlineStr">
        <is>
          <t>10-year government bond yield (nominal)</t>
        </is>
      </c>
      <c r="C39" s="4" t="n">
        <v>0.07389999999999999</v>
      </c>
      <c r="D39" t="n">
        <v>0.07099999999999999</v>
      </c>
      <c r="E39" t="n">
        <v>0.075</v>
      </c>
      <c r="F39" t="inlineStr">
        <is>
          <t>share per yr</t>
        </is>
      </c>
      <c r="G39" t="inlineStr">
        <is>
          <t>reference</t>
        </is>
      </c>
      <c r="H39" t="inlineStr">
        <is>
          <t>Finance</t>
        </is>
      </c>
    </row>
    <row r="40">
      <c r="A40" t="inlineStr">
        <is>
          <t>muni_coupon</t>
        </is>
      </c>
      <c r="B40" t="inlineStr">
        <is>
          <t>Recent Indian municipal bond coupon (nominal)</t>
        </is>
      </c>
      <c r="C40" s="4" t="n">
        <v>0.0825</v>
      </c>
      <c r="D40" t="n">
        <v>0.078</v>
      </c>
      <c r="E40" t="n">
        <v>0.095</v>
      </c>
      <c r="F40" t="inlineStr">
        <is>
          <t>share per yr</t>
        </is>
      </c>
      <c r="G40" t="inlineStr">
        <is>
          <t>reference</t>
        </is>
      </c>
      <c r="H40" t="inlineStr">
        <is>
          <t>Finance</t>
        </is>
      </c>
    </row>
    <row r="41">
      <c r="A41" t="inlineStr">
        <is>
          <t>amrut_central_share</t>
        </is>
      </c>
      <c r="B41" t="inlineStr">
        <is>
          <t>AMRUT 2.0 central share for cities above 10 lakh</t>
        </is>
      </c>
      <c r="C41" s="4" t="n">
        <v>0.25</v>
      </c>
      <c r="D41" t="n">
        <v>0.25</v>
      </c>
      <c r="E41" t="n">
        <v>0.3333</v>
      </c>
      <c r="F41" t="inlineStr">
        <is>
          <t>share of project cost</t>
        </is>
      </c>
      <c r="G41" t="inlineStr">
        <is>
          <t>reference</t>
        </is>
      </c>
      <c r="H41" t="inlineStr">
        <is>
          <t>Finance</t>
        </is>
      </c>
    </row>
    <row r="42">
      <c r="A42" t="inlineStr">
        <is>
          <t>rab_hist_cr</t>
        </is>
      </c>
      <c r="B42" t="inlineStr">
        <is>
          <t>Regulatory asset base: depreciated historical cost net of grants</t>
        </is>
      </c>
      <c r="C42" s="4" t="n">
        <v>12000</v>
      </c>
      <c r="D42" t="n">
        <v>12000</v>
      </c>
      <c r="E42" t="n">
        <v>12000</v>
      </c>
      <c r="F42" t="inlineStr">
        <is>
          <t>₹ cr</t>
        </is>
      </c>
      <c r="G42" t="inlineStr">
        <is>
          <t>assumed</t>
        </is>
      </c>
      <c r="H42" t="inlineStr">
        <is>
          <t>Finance</t>
        </is>
      </c>
    </row>
    <row r="43">
      <c r="A43" t="inlineStr">
        <is>
          <t>reg_wacc_nom</t>
        </is>
      </c>
      <c r="B43" t="inlineStr">
        <is>
          <t>Regulator-style nominal return on the asset base</t>
        </is>
      </c>
      <c r="C43" s="4" t="n">
        <v>0.1</v>
      </c>
      <c r="D43" t="n">
        <v>0.1</v>
      </c>
      <c r="E43" t="n">
        <v>0.1</v>
      </c>
      <c r="F43" t="inlineStr">
        <is>
          <t>nominal, per yr</t>
        </is>
      </c>
      <c r="G43" t="inlineStr">
        <is>
          <t>derived</t>
        </is>
      </c>
      <c r="H43" t="inlineStr">
        <is>
          <t>Finance</t>
        </is>
      </c>
    </row>
    <row r="44">
      <c r="A44" t="inlineStr">
        <is>
          <t>reg_dep</t>
        </is>
      </c>
      <c r="B44" t="inlineStr">
        <is>
          <t>Regulatory depreciation rate</t>
        </is>
      </c>
      <c r="C44" s="4" t="n">
        <v>0.04</v>
      </c>
      <c r="D44" t="n">
        <v>0.04</v>
      </c>
      <c r="E44" t="n">
        <v>0.04</v>
      </c>
      <c r="F44" t="inlineStr">
        <is>
          <t>share of asset base per yr</t>
        </is>
      </c>
      <c r="G44" t="inlineStr">
        <is>
          <t>policy</t>
        </is>
      </c>
      <c r="H44" t="inlineStr">
        <is>
          <t>Finance</t>
        </is>
      </c>
    </row>
    <row r="45">
      <c r="A45" t="inlineStr">
        <is>
          <t>cpi</t>
        </is>
      </c>
      <c r="B45" t="inlineStr">
        <is>
          <t>Inflation used to convert nominal to real</t>
        </is>
      </c>
      <c r="C45" s="4" t="n">
        <v>0.052</v>
      </c>
      <c r="D45" t="n">
        <v>0.045</v>
      </c>
      <c r="E45" t="n">
        <v>0.06</v>
      </c>
      <c r="F45" t="inlineStr">
        <is>
          <t>share per yr</t>
        </is>
      </c>
      <c r="G45" t="inlineStr">
        <is>
          <t>sourced</t>
        </is>
      </c>
      <c r="H45" t="inlineStr">
        <is>
          <t>Stage VI project finance</t>
        </is>
      </c>
    </row>
    <row r="46">
      <c r="A46" t="inlineStr">
        <is>
          <t>jica_rate</t>
        </is>
      </c>
      <c r="B46" t="inlineStr">
        <is>
          <t>JICA loan interest rate</t>
        </is>
      </c>
      <c r="C46" s="4" t="n">
        <v>0.012</v>
      </c>
      <c r="D46" t="n">
        <v>0.01</v>
      </c>
      <c r="E46" t="n">
        <v>0.016</v>
      </c>
      <c r="F46" t="inlineStr">
        <is>
          <t>share per yr (yen)</t>
        </is>
      </c>
      <c r="G46" t="inlineStr">
        <is>
          <t>sourced</t>
        </is>
      </c>
      <c r="H46" t="inlineStr">
        <is>
          <t>Stage VI project finance</t>
        </is>
      </c>
    </row>
    <row r="47">
      <c r="A47" t="inlineStr">
        <is>
          <t>capex_cr</t>
        </is>
      </c>
      <c r="B47" t="inlineStr">
        <is>
          <t>Stage VI capital cost</t>
        </is>
      </c>
      <c r="C47" s="4" t="n">
        <v>6939</v>
      </c>
      <c r="D47" t="n">
        <v>5177</v>
      </c>
      <c r="E47" t="n">
        <v>6939</v>
      </c>
      <c r="F47" t="inlineStr">
        <is>
          <t>₹ cr</t>
        </is>
      </c>
      <c r="G47" t="inlineStr">
        <is>
          <t>sourced</t>
        </is>
      </c>
      <c r="H47" t="inlineStr">
        <is>
          <t>Stage VI project finance</t>
        </is>
      </c>
    </row>
    <row r="48">
      <c r="A48" t="inlineStr">
        <is>
          <t>overrun</t>
        </is>
      </c>
      <c r="B48" t="inlineStr">
        <is>
          <t>Cost overrun</t>
        </is>
      </c>
      <c r="C48" s="4" t="n">
        <v>0</v>
      </c>
      <c r="D48" t="n">
        <v>0</v>
      </c>
      <c r="E48" t="n">
        <v>0.8</v>
      </c>
      <c r="F48" t="inlineStr">
        <is>
          <t>share of capex</t>
        </is>
      </c>
      <c r="G48" t="inlineStr">
        <is>
          <t>assumed</t>
        </is>
      </c>
      <c r="H48" t="inlineStr">
        <is>
          <t>Stage VI project finance</t>
        </is>
      </c>
    </row>
    <row r="49">
      <c r="A49" t="inlineStr">
        <is>
          <t>pf_mld</t>
        </is>
      </c>
      <c r="B49" t="inlineStr">
        <is>
          <t>Stage VI design yield</t>
        </is>
      </c>
      <c r="C49" s="4" t="n">
        <v>500</v>
      </c>
      <c r="D49" t="n">
        <v>500</v>
      </c>
      <c r="E49" t="n">
        <v>675</v>
      </c>
      <c r="F49" t="inlineStr">
        <is>
          <t>MLD</t>
        </is>
      </c>
      <c r="G49" t="inlineStr">
        <is>
          <t>sourced</t>
        </is>
      </c>
      <c r="H49" t="inlineStr">
        <is>
          <t>Stage VI project finance</t>
        </is>
      </c>
    </row>
    <row r="50">
      <c r="A50" t="inlineStr">
        <is>
          <t>build_yrs</t>
        </is>
      </c>
      <c r="B50" t="inlineStr">
        <is>
          <t>Construction period</t>
        </is>
      </c>
      <c r="C50" s="4" t="n">
        <v>3</v>
      </c>
      <c r="D50" t="n">
        <v>3</v>
      </c>
      <c r="E50" t="n">
        <v>6</v>
      </c>
      <c r="F50" t="inlineStr">
        <is>
          <t>yr</t>
        </is>
      </c>
      <c r="G50" t="inlineStr">
        <is>
          <t>assumed</t>
        </is>
      </c>
      <c r="H50" t="inlineStr">
        <is>
          <t>Stage VI project finance</t>
        </is>
      </c>
    </row>
    <row r="51">
      <c r="A51" t="inlineStr">
        <is>
          <t>pf_life_yrs</t>
        </is>
      </c>
      <c r="B51" t="inlineStr">
        <is>
          <t>Operating life recovered</t>
        </is>
      </c>
      <c r="C51" s="4" t="n">
        <v>40</v>
      </c>
      <c r="D51" t="n">
        <v>30</v>
      </c>
      <c r="E51" t="n">
        <v>50</v>
      </c>
      <c r="F51" t="inlineStr">
        <is>
          <t>yr</t>
        </is>
      </c>
      <c r="G51" t="inlineStr">
        <is>
          <t>assumed</t>
        </is>
      </c>
      <c r="H51" t="inlineStr">
        <is>
          <t>Stage VI project finance</t>
        </is>
      </c>
    </row>
    <row r="52">
      <c r="A52" t="inlineStr">
        <is>
          <t>power_rs_kl</t>
        </is>
      </c>
      <c r="B52" t="inlineStr">
        <is>
          <t>Power cost per kL delivered</t>
        </is>
      </c>
      <c r="C52" s="4" t="n">
        <v>12.8</v>
      </c>
      <c r="D52" t="n">
        <v>8.9</v>
      </c>
      <c r="E52" t="n">
        <v>12.8</v>
      </c>
      <c r="F52" t="inlineStr">
        <is>
          <t>₹/kL</t>
        </is>
      </c>
      <c r="G52" t="inlineStr">
        <is>
          <t>derived</t>
        </is>
      </c>
      <c r="H52" t="inlineStr">
        <is>
          <t>Stage VI project finance</t>
        </is>
      </c>
    </row>
    <row r="53">
      <c r="A53" t="inlineStr">
        <is>
          <t>fixed_cr_yr</t>
        </is>
      </c>
      <c r="B53" t="inlineStr">
        <is>
          <t>Staff, chemicals and repairs (fixed O&amp;M)</t>
        </is>
      </c>
      <c r="C53" s="4" t="n">
        <v>46</v>
      </c>
      <c r="D53" t="n">
        <v>46</v>
      </c>
      <c r="E53" t="n">
        <v>46</v>
      </c>
      <c r="F53" t="inlineStr">
        <is>
          <t>₹ cr/yr</t>
        </is>
      </c>
      <c r="G53" t="inlineStr">
        <is>
          <t>assumed</t>
        </is>
      </c>
      <c r="H53" t="inlineStr">
        <is>
          <t>Stage VI project finance</t>
        </is>
      </c>
    </row>
    <row r="54">
      <c r="A54" t="inlineStr">
        <is>
          <t>insurance</t>
        </is>
      </c>
      <c r="B54" t="inlineStr">
        <is>
          <t>Insurance</t>
        </is>
      </c>
      <c r="C54" s="4" t="n">
        <v>0.004</v>
      </c>
      <c r="D54" t="n">
        <v>0.002</v>
      </c>
      <c r="E54" t="n">
        <v>0.008999999999999999</v>
      </c>
      <c r="F54" t="inlineStr">
        <is>
          <t>share of capex per yr</t>
        </is>
      </c>
      <c r="G54" t="inlineStr">
        <is>
          <t>assumed</t>
        </is>
      </c>
      <c r="H54" t="inlineStr">
        <is>
          <t>Stage VI project finance</t>
        </is>
      </c>
    </row>
    <row r="55">
      <c r="A55" t="inlineStr">
        <is>
          <t>inr_jpy_dep</t>
        </is>
      </c>
      <c r="B55" t="inlineStr">
        <is>
          <t>Expected yearly fall of the rupee against the yen</t>
        </is>
      </c>
      <c r="C55" s="4" t="n">
        <v>0.035</v>
      </c>
      <c r="D55" t="n">
        <v>0.015</v>
      </c>
      <c r="E55" t="n">
        <v>0.045</v>
      </c>
      <c r="F55" t="inlineStr">
        <is>
          <t>per yr</t>
        </is>
      </c>
      <c r="G55" t="inlineStr">
        <is>
          <t>derived</t>
        </is>
      </c>
      <c r="H55" t="inlineStr">
        <is>
          <t>Stage VI project finance</t>
        </is>
      </c>
    </row>
    <row r="56">
      <c r="A56" t="inlineStr">
        <is>
          <t>tax</t>
        </is>
      </c>
      <c r="B56" t="inlineStr">
        <is>
          <t>Corporate tax on a private SPV</t>
        </is>
      </c>
      <c r="C56" s="4" t="n">
        <v>0.2517</v>
      </c>
      <c r="D56" t="n">
        <v>0.2517</v>
      </c>
      <c r="E56" t="n">
        <v>0.2517</v>
      </c>
      <c r="F56" t="inlineStr">
        <is>
          <t>share of profit</t>
        </is>
      </c>
      <c r="G56" t="inlineStr">
        <is>
          <t>sourced</t>
        </is>
      </c>
      <c r="H56" t="inlineStr">
        <is>
          <t>Stage VI project finance</t>
        </is>
      </c>
    </row>
    <row r="57">
      <c r="A57" t="inlineStr">
        <is>
          <t>bond_rate</t>
        </is>
      </c>
      <c r="B57" t="inlineStr">
        <is>
          <t>Municipal or revenue bond coupon</t>
        </is>
      </c>
      <c r="C57" s="4" t="n">
        <v>0.09</v>
      </c>
      <c r="D57" t="n">
        <v>0.08500000000000001</v>
      </c>
      <c r="E57" t="n">
        <v>0.095</v>
      </c>
      <c r="F57" t="inlineStr">
        <is>
          <t>nominal, per yr</t>
        </is>
      </c>
      <c r="G57" t="inlineStr">
        <is>
          <t>derived</t>
        </is>
      </c>
      <c r="H57" t="inlineStr">
        <is>
          <t>Stage VI project finance</t>
        </is>
      </c>
    </row>
    <row r="58">
      <c r="A58" t="inlineStr">
        <is>
          <t>ham_rate</t>
        </is>
      </c>
      <c r="B58" t="inlineStr">
        <is>
          <t>Hybrid annuity interest rate</t>
        </is>
      </c>
      <c r="C58" s="4" t="n">
        <v>0.08749999999999999</v>
      </c>
      <c r="D58" t="n">
        <v>0.08749999999999999</v>
      </c>
      <c r="E58" t="n">
        <v>0.08749999999999999</v>
      </c>
      <c r="F58" t="inlineStr">
        <is>
          <t>nominal, per yr</t>
        </is>
      </c>
      <c r="G58" t="inlineStr">
        <is>
          <t>derived</t>
        </is>
      </c>
      <c r="H58" t="inlineStr">
        <is>
          <t>Stage VI project finance</t>
        </is>
      </c>
    </row>
    <row r="59">
      <c r="A59" t="inlineStr">
        <is>
          <t>ppp_equity</t>
        </is>
      </c>
      <c r="B59" t="inlineStr">
        <is>
          <t>Private equity return (after tax)</t>
        </is>
      </c>
      <c r="C59" s="4" t="n">
        <v>0.15</v>
      </c>
      <c r="D59" t="n">
        <v>0.14</v>
      </c>
      <c r="E59" t="n">
        <v>0.16</v>
      </c>
      <c r="F59" t="inlineStr">
        <is>
          <t>post-tax nominal IRR</t>
        </is>
      </c>
      <c r="G59" t="inlineStr">
        <is>
          <t>assumed</t>
        </is>
      </c>
      <c r="H59" t="inlineStr">
        <is>
          <t>Stage VI project finance</t>
        </is>
      </c>
    </row>
    <row r="60">
      <c r="A60" t="inlineStr">
        <is>
          <t>ngt_cr_mld</t>
        </is>
      </c>
      <c r="B60" t="inlineStr">
        <is>
          <t>NGT environmental compensation for untreated sewage</t>
        </is>
      </c>
      <c r="C60" s="4" t="n">
        <v>2</v>
      </c>
      <c r="D60" t="n">
        <v>2</v>
      </c>
      <c r="E60" t="n">
        <v>2</v>
      </c>
      <c r="F60" t="inlineStr">
        <is>
          <t>₹ cr per MLD of gap</t>
        </is>
      </c>
      <c r="G60" t="inlineStr">
        <is>
          <t>sourced</t>
        </is>
      </c>
      <c r="H60" t="inlineStr">
        <is>
          <t>The river, the lakes and the catchment</t>
        </is>
      </c>
    </row>
    <row r="61">
      <c r="A61" t="inlineStr">
        <is>
          <t>catchment_rs_kl</t>
        </is>
      </c>
      <c r="B61" t="inlineStr">
        <is>
          <t>Keeping the Cauvery catchment working</t>
        </is>
      </c>
      <c r="C61" s="4" t="n">
        <v>2</v>
      </c>
      <c r="D61" t="n">
        <v>1</v>
      </c>
      <c r="E61" t="n">
        <v>7</v>
      </c>
      <c r="F61" t="inlineStr">
        <is>
          <t>₹/kL drawn</t>
        </is>
      </c>
      <c r="G61" t="inlineStr">
        <is>
          <t>assumed</t>
        </is>
      </c>
      <c r="H61" t="inlineStr">
        <is>
          <t>The river, the lakes and the catchment</t>
        </is>
      </c>
    </row>
    <row r="62">
      <c r="A62" t="inlineStr">
        <is>
          <t>basin_loss</t>
        </is>
      </c>
      <c r="B62" t="inlineStr">
        <is>
          <t>Share of the city's sewage that drains out of the Cauvery basin</t>
        </is>
      </c>
      <c r="C62" s="4" t="n">
        <v>0.6</v>
      </c>
      <c r="D62" t="n">
        <v>0.5</v>
      </c>
      <c r="E62" t="n">
        <v>0.7</v>
      </c>
      <c r="F62" t="inlineStr">
        <is>
          <t>share</t>
        </is>
      </c>
      <c r="G62" t="inlineStr">
        <is>
          <t>assumed</t>
        </is>
      </c>
      <c r="H62" t="inlineStr">
        <is>
          <t>The river, the lakes and the catchment</t>
        </is>
      </c>
    </row>
    <row r="63">
      <c r="A63" t="inlineStr">
        <is>
          <t>raw_oc_rs_kl</t>
        </is>
      </c>
      <c r="B63" t="inlineStr">
        <is>
          <t>Value of Cauvery water to downstream farms</t>
        </is>
      </c>
      <c r="C63" s="4" t="n">
        <v>4</v>
      </c>
      <c r="D63" t="n">
        <v>2</v>
      </c>
      <c r="E63" t="n">
        <v>11</v>
      </c>
      <c r="F63" t="inlineStr">
        <is>
          <t>₹/kL drawn</t>
        </is>
      </c>
      <c r="G63" t="inlineStr">
        <is>
          <t>derived</t>
        </is>
      </c>
      <c r="H63" t="inlineStr">
        <is>
          <t>Scarcity and the river</t>
        </is>
      </c>
    </row>
    <row r="64">
      <c r="A64" t="inlineStr">
        <is>
          <t>lrmc_cr_mld</t>
        </is>
      </c>
      <c r="B64" t="inlineStr">
        <is>
          <t>Cost of the next source (Stage VI: ₹6,939 cr / 500 MLD)</t>
        </is>
      </c>
      <c r="C64" s="4" t="n">
        <v>13.9</v>
      </c>
      <c r="D64" t="n">
        <v>10.3</v>
      </c>
      <c r="E64" t="n">
        <v>16</v>
      </c>
      <c r="F64" t="inlineStr">
        <is>
          <t>₹ cr/MLD</t>
        </is>
      </c>
      <c r="G64" t="inlineStr">
        <is>
          <t>derived</t>
        </is>
      </c>
      <c r="H64" t="inlineStr">
        <is>
          <t>Scarcity and the river</t>
        </is>
      </c>
    </row>
    <row r="65">
      <c r="A65" t="inlineStr">
        <is>
          <t>gw_share</t>
        </is>
      </c>
      <c r="B65" t="inlineStr">
        <is>
          <t>Share of city demand met by groundwater</t>
        </is>
      </c>
      <c r="C65" s="4" t="n">
        <v>0.4</v>
      </c>
      <c r="D65" t="n">
        <v>0.15</v>
      </c>
      <c r="E65" t="n">
        <v>0.52</v>
      </c>
      <c r="F65" t="inlineStr">
        <is>
          <t>share</t>
        </is>
      </c>
      <c r="G65" t="inlineStr">
        <is>
          <t>reference</t>
        </is>
      </c>
      <c r="H65" t="inlineStr">
        <is>
          <t>Scarcity and the river</t>
        </is>
      </c>
    </row>
    <row r="66">
      <c r="A66" t="inlineStr">
        <is>
          <t>grid_ef</t>
        </is>
      </c>
      <c r="B66" t="inlineStr">
        <is>
          <t>Grid emission factor (CEA v22, FY26)</t>
        </is>
      </c>
      <c r="C66" s="4" t="n">
        <v>0.675</v>
      </c>
      <c r="D66" t="n">
        <v>0.512</v>
      </c>
      <c r="E66" t="n">
        <v>0.727</v>
      </c>
      <c r="F66" t="inlineStr">
        <is>
          <t>tCO₂/MWh</t>
        </is>
      </c>
      <c r="G66" t="inlineStr">
        <is>
          <t>sourced</t>
        </is>
      </c>
      <c r="H66" t="inlineStr">
        <is>
          <t>Carbon</t>
        </is>
      </c>
    </row>
    <row r="67">
      <c r="A67" t="inlineStr">
        <is>
          <t>scc_usd</t>
        </is>
      </c>
      <c r="B67" t="inlineStr">
        <is>
          <t>Social cost of carbon</t>
        </is>
      </c>
      <c r="C67" s="4" t="n">
        <v>255</v>
      </c>
      <c r="D67" t="n">
        <v>40</v>
      </c>
      <c r="E67" t="n">
        <v>425</v>
      </c>
      <c r="F67" t="inlineStr">
        <is>
          <t>$/tCO₂</t>
        </is>
      </c>
      <c r="G67" t="inlineStr">
        <is>
          <t>sourced</t>
        </is>
      </c>
      <c r="H67" t="inlineStr">
        <is>
          <t>Carbon</t>
        </is>
      </c>
    </row>
    <row r="68">
      <c r="A68" t="inlineStr">
        <is>
          <t>fx</t>
        </is>
      </c>
      <c r="B68" t="inlineStr">
        <is>
          <t>Exchange rate (FBIL, 30 Oct 2026)</t>
        </is>
      </c>
      <c r="C68" s="4" t="n">
        <v>95.25</v>
      </c>
      <c r="D68" t="n">
        <v>94.40000000000001</v>
      </c>
      <c r="E68" t="n">
        <v>96.8</v>
      </c>
      <c r="F68" t="inlineStr">
        <is>
          <t>₹/$</t>
        </is>
      </c>
      <c r="G68" t="inlineStr">
        <is>
          <t>sourced</t>
        </is>
      </c>
      <c r="H68" t="inlineStr">
        <is>
          <t>Carbon</t>
        </is>
      </c>
    </row>
    <row r="69">
      <c r="A69" t="inlineStr">
        <is>
          <t>residual_rs_kl</t>
        </is>
      </c>
      <c r="B69" t="inlineStr">
        <is>
          <t>Residual harm after treating sewage to NGT norms</t>
        </is>
      </c>
      <c r="C69" s="4" t="n">
        <v>8</v>
      </c>
      <c r="D69" t="n">
        <v>3</v>
      </c>
      <c r="E69" t="n">
        <v>12</v>
      </c>
      <c r="F69" t="inlineStr">
        <is>
          <t>₹/kL sewage</t>
        </is>
      </c>
      <c r="G69" t="inlineStr">
        <is>
          <t>derived</t>
        </is>
      </c>
      <c r="H69" t="inlineStr">
        <is>
          <t>Climate and residual harm</t>
        </is>
      </c>
    </row>
    <row r="70">
      <c r="A70" t="inlineStr">
        <is>
          <t>re_share</t>
        </is>
      </c>
      <c r="B70" t="inlineStr">
        <is>
          <t>Share of BWSSB power bought from renewables</t>
        </is>
      </c>
      <c r="C70" s="4" t="n">
        <v>0</v>
      </c>
      <c r="D70" t="n">
        <v>0</v>
      </c>
      <c r="E70" t="n">
        <v>0</v>
      </c>
      <c r="F70" t="inlineStr">
        <is>
          <t>share</t>
        </is>
      </c>
      <c r="G70" t="inlineStr">
        <is>
          <t>policy</t>
        </is>
      </c>
      <c r="H70" t="inlineStr">
        <is>
          <t>Climate and residual harm</t>
        </is>
      </c>
    </row>
    <row r="71">
      <c r="A71" t="inlineStr">
        <is>
          <t>fixed_charge</t>
        </is>
      </c>
      <c r="B71" t="inlineStr">
        <is>
          <t>Fixed charge per connection</t>
        </is>
      </c>
      <c r="C71" s="4" t="n">
        <v>100</v>
      </c>
      <c r="D71" t="n">
        <v>50</v>
      </c>
      <c r="E71" t="n">
        <v>150</v>
      </c>
      <c r="F71" t="inlineStr">
        <is>
          <t>₹/connection/month</t>
        </is>
      </c>
      <c r="G71" t="inlineStr">
        <is>
          <t>policy</t>
        </is>
      </c>
      <c r="H71" t="inlineStr">
        <is>
          <t>A tariff that would work</t>
        </is>
      </c>
    </row>
    <row r="72">
      <c r="A72" t="inlineStr">
        <is>
          <t>b1_top</t>
        </is>
      </c>
      <c r="B72" t="inlineStr">
        <is>
          <t>Lifeline block: upper limit</t>
        </is>
      </c>
      <c r="C72" s="4" t="n">
        <v>10</v>
      </c>
      <c r="D72" t="n">
        <v>8</v>
      </c>
      <c r="E72" t="n">
        <v>15</v>
      </c>
      <c r="F72" t="inlineStr">
        <is>
          <t>kL/month</t>
        </is>
      </c>
      <c r="G72" t="inlineStr">
        <is>
          <t>policy</t>
        </is>
      </c>
      <c r="H72" t="inlineStr">
        <is>
          <t>A tariff that would work</t>
        </is>
      </c>
    </row>
    <row r="73">
      <c r="A73" t="inlineStr">
        <is>
          <t>b1_rate</t>
        </is>
      </c>
      <c r="B73" t="inlineStr">
        <is>
          <t>Lifeline block: rate (all-in)</t>
        </is>
      </c>
      <c r="C73" s="4" t="n">
        <v>15</v>
      </c>
      <c r="D73" t="n">
        <v>8</v>
      </c>
      <c r="E73" t="n">
        <v>25</v>
      </c>
      <c r="F73" t="inlineStr">
        <is>
          <t>₹/kL</t>
        </is>
      </c>
      <c r="G73" t="inlineStr">
        <is>
          <t>policy</t>
        </is>
      </c>
      <c r="H73" t="inlineStr">
        <is>
          <t>A tariff that would work</t>
        </is>
      </c>
    </row>
    <row r="74">
      <c r="A74" t="inlineStr">
        <is>
          <t>b2_top</t>
        </is>
      </c>
      <c r="B74" t="inlineStr">
        <is>
          <t>Second block: upper limit</t>
        </is>
      </c>
      <c r="C74" s="4" t="n">
        <v>20</v>
      </c>
      <c r="D74" t="n">
        <v>15</v>
      </c>
      <c r="E74" t="n">
        <v>30</v>
      </c>
      <c r="F74" t="inlineStr">
        <is>
          <t>kL/month</t>
        </is>
      </c>
      <c r="G74" t="inlineStr">
        <is>
          <t>policy</t>
        </is>
      </c>
      <c r="H74" t="inlineStr">
        <is>
          <t>A tariff that would work</t>
        </is>
      </c>
    </row>
    <row r="75">
      <c r="A75" t="inlineStr">
        <is>
          <t>b2_rate</t>
        </is>
      </c>
      <c r="B75" t="inlineStr">
        <is>
          <t>Second block: rate</t>
        </is>
      </c>
      <c r="C75" s="4" t="n">
        <v>60</v>
      </c>
      <c r="D75" t="n">
        <v>40</v>
      </c>
      <c r="E75" t="n">
        <v>80</v>
      </c>
      <c r="F75" t="inlineStr">
        <is>
          <t>₹/kL</t>
        </is>
      </c>
      <c r="G75" t="inlineStr">
        <is>
          <t>policy</t>
        </is>
      </c>
      <c r="H75" t="inlineStr">
        <is>
          <t>A tariff that would work</t>
        </is>
      </c>
    </row>
    <row r="76">
      <c r="A76" t="inlineStr">
        <is>
          <t>b3_top</t>
        </is>
      </c>
      <c r="B76" t="inlineStr">
        <is>
          <t>Third block: upper limit</t>
        </is>
      </c>
      <c r="C76" s="4" t="n">
        <v>40</v>
      </c>
      <c r="D76" t="n">
        <v>30</v>
      </c>
      <c r="E76" t="n">
        <v>60</v>
      </c>
      <c r="F76" t="inlineStr">
        <is>
          <t>kL/month</t>
        </is>
      </c>
      <c r="G76" t="inlineStr">
        <is>
          <t>policy</t>
        </is>
      </c>
      <c r="H76" t="inlineStr">
        <is>
          <t>A tariff that would work</t>
        </is>
      </c>
    </row>
    <row r="77">
      <c r="A77" t="inlineStr">
        <is>
          <t>b3_rate</t>
        </is>
      </c>
      <c r="B77" t="inlineStr">
        <is>
          <t>Third block: rate</t>
        </is>
      </c>
      <c r="C77" s="4" t="n">
        <v>105</v>
      </c>
      <c r="D77" t="n">
        <v>90</v>
      </c>
      <c r="E77" t="n">
        <v>130</v>
      </c>
      <c r="F77" t="inlineStr">
        <is>
          <t>₹/kL</t>
        </is>
      </c>
      <c r="G77" t="inlineStr">
        <is>
          <t>policy</t>
        </is>
      </c>
      <c r="H77" t="inlineStr">
        <is>
          <t>A tariff that would work</t>
        </is>
      </c>
    </row>
    <row r="78">
      <c r="A78" t="inlineStr">
        <is>
          <t>b4_rate</t>
        </is>
      </c>
      <c r="B78" t="inlineStr">
        <is>
          <t>Top block: rate</t>
        </is>
      </c>
      <c r="C78" s="4" t="n">
        <v>150</v>
      </c>
      <c r="D78" t="n">
        <v>110</v>
      </c>
      <c r="E78" t="n">
        <v>220</v>
      </c>
      <c r="F78" t="inlineStr">
        <is>
          <t>₹/kL</t>
        </is>
      </c>
      <c r="G78" t="inlineStr">
        <is>
          <t>policy</t>
        </is>
      </c>
      <c r="H78" t="inlineStr">
        <is>
          <t>A tariff that would work</t>
        </is>
      </c>
    </row>
    <row r="79">
      <c r="A79" t="inlineStr">
        <is>
          <t>connections_lakh</t>
        </is>
      </c>
      <c r="B79" t="inlineStr">
        <is>
          <t>Water connections</t>
        </is>
      </c>
      <c r="C79" s="4" t="n">
        <v>11.3</v>
      </c>
      <c r="D79" t="n">
        <v>10.7</v>
      </c>
      <c r="E79" t="n">
        <v>11.5</v>
      </c>
      <c r="F79" t="inlineStr">
        <is>
          <t>lakh</t>
        </is>
      </c>
      <c r="G79" t="inlineStr">
        <is>
          <t>sourced</t>
        </is>
      </c>
      <c r="H79" t="inlineStr">
        <is>
          <t>A tariff that would work</t>
        </is>
      </c>
    </row>
    <row r="80">
      <c r="A80" t="inlineStr">
        <is>
          <t>hh_size</t>
        </is>
      </c>
      <c r="B80" t="inlineStr">
        <is>
          <t>Persons per household, Bengaluru</t>
        </is>
      </c>
      <c r="C80" s="4" t="n">
        <v>4</v>
      </c>
      <c r="D80" t="n">
        <v>3.5</v>
      </c>
      <c r="E80" t="n">
        <v>4.5</v>
      </c>
      <c r="F80" t="inlineStr">
        <is>
          <t>persons</t>
        </is>
      </c>
      <c r="G80" t="inlineStr">
        <is>
          <t>reference</t>
        </is>
      </c>
      <c r="H80" t="inlineStr">
        <is>
          <t>Households and affordability</t>
        </is>
      </c>
    </row>
    <row r="81">
      <c r="A81" t="inlineStr">
        <is>
          <t>lpcd_norm</t>
        </is>
      </c>
      <c r="B81" t="inlineStr">
        <is>
          <t>Water each person needs (CPHEEO norm)</t>
        </is>
      </c>
      <c r="C81" s="4" t="n">
        <v>135</v>
      </c>
      <c r="D81" t="n">
        <v>108</v>
      </c>
      <c r="E81" t="n">
        <v>150</v>
      </c>
      <c r="F81" t="inlineStr">
        <is>
          <t>litres/person/day</t>
        </is>
      </c>
      <c r="G81" t="inlineStr">
        <is>
          <t>reference</t>
        </is>
      </c>
      <c r="H81" t="inlineStr">
        <is>
          <t>Households and affordability</t>
        </is>
      </c>
    </row>
    <row r="82">
      <c r="A82" t="inlineStr">
        <is>
          <t>hh_income_low</t>
        </is>
      </c>
      <c r="B82" t="inlineStr">
        <is>
          <t>Lower-income household income</t>
        </is>
      </c>
      <c r="C82" s="4" t="n">
        <v>25000</v>
      </c>
      <c r="D82" t="n">
        <v>15000</v>
      </c>
      <c r="E82" t="n">
        <v>35000</v>
      </c>
      <c r="F82" t="inlineStr">
        <is>
          <t>₹/month</t>
        </is>
      </c>
      <c r="G82" t="inlineStr">
        <is>
          <t>assumed</t>
        </is>
      </c>
      <c r="H82" t="inlineStr">
        <is>
          <t>Households and affordability</t>
        </is>
      </c>
    </row>
    <row r="83">
      <c r="A83" t="inlineStr">
        <is>
          <t>hh_income_mid</t>
        </is>
      </c>
      <c r="B83" t="inlineStr">
        <is>
          <t>Middle-income household income</t>
        </is>
      </c>
      <c r="C83" s="4" t="n">
        <v>75000</v>
      </c>
      <c r="D83" t="n">
        <v>42000</v>
      </c>
      <c r="E83" t="n">
        <v>125000</v>
      </c>
      <c r="F83" t="inlineStr">
        <is>
          <t>₹/month</t>
        </is>
      </c>
      <c r="G83" t="inlineStr">
        <is>
          <t>assumed</t>
        </is>
      </c>
      <c r="H83" t="inlineStr">
        <is>
          <t>Households and affordability</t>
        </is>
      </c>
    </row>
    <row r="84">
      <c r="A84" t="inlineStr">
        <is>
          <t>afford_pct</t>
        </is>
      </c>
      <c r="B84" t="inlineStr">
        <is>
          <t>Affordability threshold (share of income)</t>
        </is>
      </c>
      <c r="C84" s="4" t="n">
        <v>0.03</v>
      </c>
      <c r="D84" t="n">
        <v>0.03</v>
      </c>
      <c r="E84" t="n">
        <v>0.05</v>
      </c>
      <c r="F84" t="inlineStr">
        <is>
          <t>share of income</t>
        </is>
      </c>
      <c r="G84" t="inlineStr">
        <is>
          <t>sourced</t>
        </is>
      </c>
      <c r="H84" t="inlineStr">
        <is>
          <t>Households and affordability</t>
        </is>
      </c>
    </row>
    <row r="85">
      <c r="A85" t="inlineStr">
        <is>
          <t>tanker_rs_kl</t>
        </is>
      </c>
      <c r="B85" t="inlineStr">
        <is>
          <t>Private tanker water price (2025-26)</t>
        </is>
      </c>
      <c r="C85" s="4" t="n">
        <v>140</v>
      </c>
      <c r="D85" t="n">
        <v>115</v>
      </c>
      <c r="E85" t="n">
        <v>210</v>
      </c>
      <c r="F85" t="inlineStr">
        <is>
          <t>₹/kL</t>
        </is>
      </c>
      <c r="G85" t="inlineStr">
        <is>
          <t>reference</t>
        </is>
      </c>
      <c r="H85" t="inlineStr">
        <is>
          <t>Households and affordability</t>
        </is>
      </c>
    </row>
    <row r="86">
      <c r="A86" t="inlineStr">
        <is>
          <t>sanchari_rs_kl</t>
        </is>
      </c>
      <c r="B86" t="inlineStr">
        <is>
          <t>BWSSB Sanchari Cauvery tanker price</t>
        </is>
      </c>
      <c r="C86" s="4" t="n">
        <v>108</v>
      </c>
      <c r="D86" t="n">
        <v>107</v>
      </c>
      <c r="E86" t="n">
        <v>165</v>
      </c>
      <c r="F86" t="inlineStr">
        <is>
          <t>₹/kL</t>
        </is>
      </c>
      <c r="G86" t="inlineStr">
        <is>
          <t>reference</t>
        </is>
      </c>
      <c r="H86" t="inlineStr">
        <is>
          <t>Households and affordability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90" customWidth="1" min="3" max="3"/>
  </cols>
  <sheetData>
    <row r="1">
      <c r="A1" s="3" t="inlineStr">
        <is>
          <t>Line</t>
        </is>
      </c>
      <c r="B1" s="3" t="inlineStr">
        <is>
          <t>₹/kL billed (or as labelled)</t>
        </is>
      </c>
      <c r="C1" s="3" t="inlineStr">
        <is>
          <t>Formula in words</t>
        </is>
      </c>
    </row>
    <row r="2">
      <c r="A2" t="inlineStr">
        <is>
          <t>Water produced, kL/yr</t>
        </is>
      </c>
      <c r="B2" s="5">
        <f>prod_mld*365000</f>
        <v/>
      </c>
      <c r="C2" t="inlineStr">
        <is>
          <t>Production x 365,000</t>
        </is>
      </c>
    </row>
    <row r="3">
      <c r="A3" t="inlineStr">
        <is>
          <t>Water billed, kL/yr</t>
        </is>
      </c>
      <c r="B3" s="5">
        <f>prod_kl*(1-nrw)</f>
        <v/>
      </c>
      <c r="C3" t="inlineStr">
        <is>
          <t>Production x (1 - NRW)</t>
        </is>
      </c>
    </row>
    <row r="4">
      <c r="A4" t="inlineStr">
        <is>
          <t>Sewage, kL/yr</t>
        </is>
      </c>
      <c r="B4" s="5">
        <f>sewage_mld*365000</f>
        <v/>
      </c>
      <c r="C4" t="inlineStr">
        <is>
          <t>sewage_mld*365000</t>
        </is>
      </c>
    </row>
    <row r="5">
      <c r="A5" t="inlineStr">
        <is>
          <t>Sewage treated today, kL/yr</t>
        </is>
      </c>
      <c r="B5" s="5">
        <f>treated_mld*365000</f>
        <v/>
      </c>
      <c r="C5" t="inlineStr">
        <is>
          <t>treated_mld*365000</t>
        </is>
      </c>
    </row>
    <row r="6">
      <c r="A6" t="inlineStr">
        <is>
          <t>Electricity scale (pumping follows production)</t>
        </is>
      </c>
      <c r="B6" s="5">
        <f>prod_mld/1900</f>
        <v/>
      </c>
      <c r="C6" t="inlineStr">
        <is>
          <t>prod_mld/1900</t>
        </is>
      </c>
    </row>
    <row r="7">
      <c r="A7" t="inlineStr">
        <is>
          <t>Electricity, ₹ cr/month (scaled)</t>
        </is>
      </c>
      <c r="B7" s="5">
        <f>energy_cr_m*prod_scale</f>
        <v/>
      </c>
      <c r="C7" t="inlineStr">
        <is>
          <t>energy_cr_m*prod_scale</t>
        </is>
      </c>
    </row>
    <row r="8">
      <c r="A8" t="inlineStr">
        <is>
          <t>Operating spend, ₹ cr/month, FY27</t>
        </is>
      </c>
      <c r="B8" s="5">
        <f>(opex_cr_m-energy_cr_m+energy_m)*opex_index</f>
        <v/>
      </c>
      <c r="C8" t="inlineStr">
        <is>
          <t>(opex_cr_m-energy_cr_m+energy_m)*opex_index</t>
        </is>
      </c>
    </row>
    <row r="9">
      <c r="A9" t="inlineStr">
        <is>
          <t>Q1. Household bill per kL at 20 kL, FY27</t>
        </is>
      </c>
      <c r="B9" s="5">
        <f>(8*8.5*1.03+12*14*1.03)*1.5/20+50/20</f>
        <v/>
      </c>
      <c r="C9" t="inlineStr">
        <is>
          <t>BWSSB slabs x 1.03, + 50% sanitary + ₹50 meter, ÷ 20</t>
        </is>
      </c>
    </row>
    <row r="10">
      <c r="A10" t="inlineStr">
        <is>
          <t>Q1. BWSSB average revenue per kL billed</t>
        </is>
      </c>
      <c r="B10" s="5">
        <f>revenue_cr_m*12*1E7/billed_kl</f>
        <v/>
      </c>
      <c r="C10" t="inlineStr">
        <is>
          <t>revenue_cr_m*12*1E7/billed_kl</t>
        </is>
      </c>
    </row>
    <row r="11">
      <c r="A11" t="inlineStr">
        <is>
          <t>Cash cost today per kL billed</t>
        </is>
      </c>
      <c r="B11" s="5">
        <f>opex_m*12*1E7/billed_kl</f>
        <v/>
      </c>
      <c r="C11" t="inlineStr">
        <is>
          <t>opex_m*12*1E7/billed_kl</t>
        </is>
      </c>
    </row>
    <row r="12">
      <c r="A12" t="inlineStr">
        <is>
          <t>Cash cost per kL produced</t>
        </is>
      </c>
      <c r="B12" s="5">
        <f>opex_m*12*1E7/prod_kl</f>
        <v/>
      </c>
      <c r="C12" t="inlineStr">
        <is>
          <t>opex_m*12*1E7/prod_kl</t>
        </is>
      </c>
    </row>
    <row r="13">
      <c r="A13" t="inlineStr">
        <is>
          <t>Sewerage opex, ₹/yr</t>
        </is>
      </c>
      <c r="B13" s="5">
        <f>(sew_share_other*(opex_cr_m-energy_cr_m)+sew_energy_cr_m)*opex_index*12*1E7</f>
        <v/>
      </c>
      <c r="C13" t="inlineStr">
        <is>
          <t>(sew_share_other*(opex_cr_m-energy_cr_m)+sew_energy_cr_m)*opex_index*12*1E7</t>
        </is>
      </c>
    </row>
    <row r="14">
      <c r="A14" t="inlineStr">
        <is>
          <t>Sewerage opex per kL treated today</t>
        </is>
      </c>
      <c r="B14" s="5">
        <f>sew_opex/treated_kl</f>
        <v/>
      </c>
      <c r="C14" t="inlineStr">
        <is>
          <t>sew_opex/treated_kl</t>
        </is>
      </c>
    </row>
    <row r="15">
      <c r="A15" t="inlineStr">
        <is>
          <t>Q3. Water operations</t>
        </is>
      </c>
      <c r="B15" s="5">
        <f>(opex_m*12*1E7-sew_opex)/billed_kl</f>
        <v/>
      </c>
      <c r="C15" t="inlineStr">
        <is>
          <t>(opex_m*12*1E7-sew_opex)/billed_kl</t>
        </is>
      </c>
    </row>
    <row r="16">
      <c r="A16" t="inlineStr">
        <is>
          <t>CRF bulk and distribution</t>
        </is>
      </c>
      <c r="B16" s="5">
        <f>IF(wacc_real=0,1/life_bulk,wacc_real/(1-(1+wacc_real)^-life_bulk))</f>
        <v/>
      </c>
      <c r="C16" t="inlineStr">
        <is>
          <t>IF(wacc_real=0,1/life_bulk,wacc_real/(1-(1+wacc_real)^-life_bulk))</t>
        </is>
      </c>
    </row>
    <row r="17">
      <c r="A17" t="inlineStr">
        <is>
          <t>CRF meters and IT</t>
        </is>
      </c>
      <c r="B17" s="5">
        <f>IF(wacc_real=0,1/life_misc,wacc_real/(1-(1+wacc_real)^-life_misc))</f>
        <v/>
      </c>
      <c r="C17" t="inlineStr">
        <is>
          <t>IF(wacc_real=0,1/life_misc,wacc_real/(1-(1+wacc_real)^-life_misc))</t>
        </is>
      </c>
    </row>
    <row r="18">
      <c r="A18" t="inlineStr">
        <is>
          <t>CRF sewers</t>
        </is>
      </c>
      <c r="B18" s="5">
        <f>IF(wacc_real=0,1/life_sewer,wacc_real/(1-(1+wacc_real)^-life_sewer))</f>
        <v/>
      </c>
      <c r="C18" t="inlineStr">
        <is>
          <t>IF(wacc_real=0,1/life_sewer,wacc_real/(1-(1+wacc_real)^-life_sewer))</t>
        </is>
      </c>
    </row>
    <row r="19">
      <c r="A19" t="inlineStr">
        <is>
          <t>CRF STPs</t>
        </is>
      </c>
      <c r="B19" s="5">
        <f>IF(wacc_real=0,1/life_stp,wacc_real/(1-(1+wacc_real)^-life_stp))</f>
        <v/>
      </c>
      <c r="C19" t="inlineStr">
        <is>
          <t>IF(wacc_real=0,1/life_stp,wacc_real/(1-(1+wacc_real)^-life_stp))</t>
        </is>
      </c>
    </row>
    <row r="20">
      <c r="A20" t="inlineStr">
        <is>
          <t>Q4. Bulk supply</t>
        </is>
      </c>
      <c r="B20" s="5">
        <f>(1-grant_share)*bulk_cap_mld*bulk_cr_mld*1E7*crf_bulk/billed_kl</f>
        <v/>
      </c>
      <c r="C20" t="inlineStr">
        <is>
          <t>(1-grant_share)*bulk_cap_mld*bulk_cr_mld*1E7*crf_bulk/billed_kl</t>
        </is>
      </c>
    </row>
    <row r="21">
      <c r="A21" t="inlineStr">
        <is>
          <t>Q4. Distribution</t>
        </is>
      </c>
      <c r="B21" s="5">
        <f>(1-grant_share)*dist_km*dist_cr_km*1E7*crf_bulk/billed_kl</f>
        <v/>
      </c>
      <c r="C21" t="inlineStr">
        <is>
          <t>(1-grant_share)*dist_km*dist_cr_km*1E7*crf_bulk/billed_kl</t>
        </is>
      </c>
    </row>
    <row r="22">
      <c r="A22" t="inlineStr">
        <is>
          <t>Q4. Meters, IT, buildings</t>
        </is>
      </c>
      <c r="B22" s="5">
        <f>(1-grant_share)*misc_cr*1E7*crf_misc/billed_kl</f>
        <v/>
      </c>
      <c r="C22" t="inlineStr">
        <is>
          <t>(1-grant_share)*misc_cr*1E7*crf_misc/billed_kl</t>
        </is>
      </c>
    </row>
    <row r="23">
      <c r="A23" t="inlineStr">
        <is>
          <t>Q4. Water assets total</t>
        </is>
      </c>
      <c r="B23" s="5">
        <f>c_bulk+c_dist+c_misc</f>
        <v/>
      </c>
      <c r="C23" t="inlineStr">
        <is>
          <t>c_bulk+c_dist+c_misc</t>
        </is>
      </c>
    </row>
    <row r="24">
      <c r="A24" t="inlineStr">
        <is>
          <t>Q5. Sewage operations at standard</t>
        </is>
      </c>
      <c r="B24" s="5">
        <f>(sew_unit+upgrade_rs_kl)*return_factor</f>
        <v/>
      </c>
      <c r="C24" t="inlineStr">
        <is>
          <t>(sew_unit+upgrade_rs_kl)*return_factor</t>
        </is>
      </c>
    </row>
    <row r="25">
      <c r="A25" t="inlineStr">
        <is>
          <t>Q5. Sewers and STPs</t>
        </is>
      </c>
      <c r="B25" s="5">
        <f>(1-grant_share)*(sewer_km*sewer_cr_km*1E7*crf_sewer+sewage_mld*stp_cr_mld*1E7*crf_stp)/sew_kl*return_factor</f>
        <v/>
      </c>
      <c r="C25" t="inlineStr">
        <is>
          <t>(1-grant_share)*(sewer_km*sewer_cr_km*1E7*crf_sewer+sewage_mld*stp_cr_mld*1E7*crf_stp)/sew_kl*return_factor</t>
        </is>
      </c>
    </row>
    <row r="26">
      <c r="A26" t="inlineStr">
        <is>
          <t>Q5. Cleaning to river quality</t>
        </is>
      </c>
      <c r="B26" s="5">
        <f>return_on*polish_rs_kl*return_factor</f>
        <v/>
      </c>
      <c r="C26" t="inlineStr">
        <is>
          <t>return_on*polish_rs_kl*return_factor</t>
        </is>
      </c>
    </row>
    <row r="27">
      <c r="A27" t="inlineStr">
        <is>
          <t>Q5. Return pipelines to the Cauvery</t>
        </is>
      </c>
      <c r="B27" s="5">
        <f>return_on*basin_loss*return_factor*(ret_om_rs_kl+ret_kwh*electricity_rs_kwh+(1-grant_share)*ret_cr_mld*1E7*crf_bulk/365000)</f>
        <v/>
      </c>
      <c r="C27" t="inlineStr">
        <is>
          <t>return_on*basin_loss*return_factor*(ret_om_rs_kl+ret_kwh*electricity_rs_kwh+(1-grant_share)*ret_cr_mld*1E7*crf_bulk/365000)</t>
        </is>
      </c>
    </row>
    <row r="28">
      <c r="A28" t="inlineStr">
        <is>
          <t>Q3. Working capital</t>
        </is>
      </c>
      <c r="B28" s="5">
        <f>reserve_pct*(l_water_om+l_sew_om+l_water_cap+l_sew_cap+l_polish+l_convey)</f>
        <v/>
      </c>
      <c r="C28" t="inlineStr">
        <is>
          <t>reserve_pct*(l_water_om+l_sew_om+l_water_cap+l_sew_cap+l_polish+l_convey)</t>
        </is>
      </c>
    </row>
    <row r="29">
      <c r="A29" s="6" t="inlineStr">
        <is>
          <t>RUNG 2. Full financial cost (Q3+Q4+Q5)</t>
        </is>
      </c>
      <c r="B29" s="7">
        <f>l_water_om+l_sew_om+l_water_cap+l_sew_cap+l_polish+l_convey+l_reserve</f>
        <v/>
      </c>
      <c r="C29" t="inlineStr">
        <is>
          <t>Rogers et al.: full supply cost</t>
        </is>
      </c>
    </row>
    <row r="30">
      <c r="A30" t="inlineStr">
        <is>
          <t>Share of draw never returned to the Cauvery</t>
        </is>
      </c>
      <c r="B30" s="5">
        <f>1-return_factor*(1-nrw*nrw_phys_share)*IF(return_on=1,1,1-basin_loss)</f>
        <v/>
      </c>
      <c r="C30" t="inlineStr">
        <is>
          <t>1-return_factor*(1-nrw*nrw_phys_share)*IF(return_on=1,1,1-basin_loss)</t>
        </is>
      </c>
    </row>
    <row r="31">
      <c r="A31" t="inlineStr">
        <is>
          <t>Q7. Water for downstream farms</t>
        </is>
      </c>
      <c r="B31" s="5">
        <f>raw_oc_rs_kl*lost/(1-nrw)</f>
        <v/>
      </c>
      <c r="C31" t="inlineStr">
        <is>
          <t>raw_oc_rs_kl*lost/(1-nrw)</t>
        </is>
      </c>
    </row>
    <row r="32">
      <c r="A32" t="inlineStr">
        <is>
          <t>Q7. Catchment upkeep</t>
        </is>
      </c>
      <c r="B32" s="5">
        <f>catchment_rs_kl/(1-nrw)</f>
        <v/>
      </c>
      <c r="C32" t="inlineStr">
        <is>
          <t>catchment_rs_kl/(1-nrw)</t>
        </is>
      </c>
    </row>
    <row r="33">
      <c r="A33" s="6" t="inlineStr">
        <is>
          <t>RUNG 3. Full economic cost</t>
        </is>
      </c>
      <c r="B33" s="7">
        <f>financial+l_raw+l_catch</f>
        <v/>
      </c>
      <c r="C33" t="inlineStr">
        <is>
          <t>financial+l_raw+l_catch</t>
        </is>
      </c>
    </row>
    <row r="34">
      <c r="A34" t="inlineStr">
        <is>
          <t>Water-side electricity, kWh/yr</t>
        </is>
      </c>
      <c r="B34" s="5">
        <f>(energy_m-sew_energy_cr_m*prod_scale)*12*1E7/electricity_rs_kwh</f>
        <v/>
      </c>
      <c r="C34" t="inlineStr">
        <is>
          <t>(energy_m-sew_energy_cr_m*prod_scale)*12*1E7/electricity_rs_kwh</t>
        </is>
      </c>
    </row>
    <row r="35">
      <c r="A35" t="inlineStr">
        <is>
          <t>Sewerage electricity per kL sewage</t>
        </is>
      </c>
      <c r="B35" s="5">
        <f>sew_energy_cr_m*12*1E7/electricity_rs_kwh/treated_kl</f>
        <v/>
      </c>
      <c r="C35" t="inlineStr">
        <is>
          <t>sew_energy_cr_m*12*1E7/electricity_rs_kwh/treated_kl</t>
        </is>
      </c>
    </row>
    <row r="36">
      <c r="A36" t="inlineStr">
        <is>
          <t>kWh per kL billed</t>
        </is>
      </c>
      <c r="B36" s="5">
        <f>water_kwh/billed_kl+sew_kwh*return_factor+return_on*basin_loss*return_factor*ret_kwh</f>
        <v/>
      </c>
      <c r="C36" t="inlineStr">
        <is>
          <t>water_kwh/billed_kl+sew_kwh*return_factor+return_on*basin_loss*return_factor*ret_kwh</t>
        </is>
      </c>
    </row>
    <row r="37">
      <c r="A37" t="inlineStr">
        <is>
          <t>Q8. Carbon</t>
        </is>
      </c>
      <c r="B37" s="5">
        <f>kwh_billed*grid_ef*(1-re_share)/1000*scc_usd*fx</f>
        <v/>
      </c>
      <c r="C37" t="inlineStr">
        <is>
          <t>kwh_billed*grid_ef*(1-re_share)/1000*scc_usd*fx</t>
        </is>
      </c>
    </row>
    <row r="38">
      <c r="A38" t="inlineStr">
        <is>
          <t>Q8. Residual harm after treatment</t>
        </is>
      </c>
      <c r="B38" s="5">
        <f>residual_rs_kl*return_factor</f>
        <v/>
      </c>
      <c r="C38" t="inlineStr">
        <is>
          <t>residual_rs_kl*return_factor</t>
        </is>
      </c>
    </row>
    <row r="39">
      <c r="A39" s="6" t="inlineStr">
        <is>
          <t>RUNG 4. Full social cost</t>
        </is>
      </c>
      <c r="B39" s="7">
        <f>economic+l_carbon+l_residual</f>
        <v/>
      </c>
      <c r="C39" t="inlineStr">
        <is>
          <t>Rogers et al.: full cost</t>
        </is>
      </c>
    </row>
    <row r="40">
      <c r="A40" t="inlineStr">
        <is>
          <t>Per kL delivered (incl. unbilled use)</t>
        </is>
      </c>
      <c r="B40" s="5">
        <f>financial*billed_kl/(prod_kl*(1-nrw*nrw_phys_share))</f>
        <v/>
      </c>
      <c r="C40" t="inlineStr">
        <is>
          <t>financial*billed_kl/(prod_kl*(1-nrw*nrw_phys_share))</t>
        </is>
      </c>
    </row>
    <row r="41">
      <c r="A41" t="inlineStr">
        <is>
          <t>At efficient losses</t>
        </is>
      </c>
      <c r="B41" s="5">
        <f>financial*(1-nrw)/(1-MIN(nrw,nrw_efficient))</f>
        <v/>
      </c>
      <c r="C41" t="inlineStr">
        <is>
          <t>financial*(1-nrw)/(1-MIN(nrw,nrw_efficient))</t>
        </is>
      </c>
    </row>
    <row r="42">
      <c r="A42" t="inlineStr">
        <is>
          <t>Regulator's view on historical books</t>
        </is>
      </c>
      <c r="B42" s="5">
        <f>(opex_m*12*1E7+rab_hist_cr*1E7*(reg_dep+reg_wacc_nom))/billed_kl</f>
        <v/>
      </c>
      <c r="C42" t="inlineStr">
        <is>
          <t>(opex_m*12*1E7+rab_hist_cr*1E7*(reg_dep+reg_wacc_nom))/billed_kl</t>
        </is>
      </c>
    </row>
    <row r="43">
      <c r="A43" t="inlineStr">
        <is>
          <t>Untreated sewage, MLD</t>
        </is>
      </c>
      <c r="B43" s="5">
        <f>MAX(0,sewage_mld-treated_mld-decentral_mld)</f>
        <v/>
      </c>
      <c r="C43" t="inlineStr">
        <is>
          <t>MAX(0,sewage_mld-treated_mld-decentral_mld)</t>
        </is>
      </c>
    </row>
    <row r="44">
      <c r="A44" t="inlineStr">
        <is>
          <t>Today's untreated-sewage damage (not in price)</t>
        </is>
      </c>
      <c r="B44" s="5">
        <f>gap_mld*ngt_cr_mld*1E7/billed_kl</f>
        <v/>
      </c>
      <c r="C44" t="inlineStr">
        <is>
          <t>NGT rate read as one year of damage</t>
        </is>
      </c>
    </row>
    <row r="45">
      <c r="A45" t="inlineStr">
        <is>
          <t>Revenue needed at rung 2, ₹ cr/yr</t>
        </is>
      </c>
      <c r="B45" s="5">
        <f>financial*billed_kl/1E7</f>
        <v/>
      </c>
      <c r="C45" t="inlineStr">
        <is>
          <t>financial*billed_kl/1E7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6" customWidth="1" min="6" max="6"/>
    <col width="16" customWidth="1" min="7" max="7"/>
    <col width="18" customWidth="1" min="8" max="8"/>
    <col width="16" customWidth="1" min="9" max="9"/>
  </cols>
  <sheetData>
    <row r="1">
      <c r="A1" s="8" t="inlineStr">
        <is>
          <t>Cauvery Stage VI: levelised CPI-indexed tariff for bulk water at the city reservoirs, today's ₹/kL</t>
        </is>
      </c>
    </row>
    <row r="2">
      <c r="A2" t="inlineStr">
        <is>
          <t>Inputs come from the Inputs sheet (capex_cr, overrun, pf_mld, build_yrs, pf_life_yrs, power_rs_kl, fixed_cr_yr, insurance, cpi, jica_rate, inr_jpy_dep, bond_rate, ham_rate, ppp_equity, tax). Construction is fixed at the build_yrs value in rows below; utilisation ramps 45/65/85/100%.</t>
        </is>
      </c>
    </row>
    <row r="4">
      <c r="A4" s="3" t="inlineStr">
        <is>
          <t>Structure</t>
        </is>
      </c>
      <c r="B4" s="3" t="inlineStr">
        <is>
          <t>Debt share of non-grant money</t>
        </is>
      </c>
      <c r="C4" s="3" t="inlineStr">
        <is>
          <t>Debt rate, nominal</t>
        </is>
      </c>
      <c r="D4" s="3" t="inlineStr">
        <is>
          <t>Equity cost, nominal</t>
        </is>
      </c>
      <c r="E4" s="3" t="inlineStr">
        <is>
          <t>Grant share</t>
        </is>
      </c>
      <c r="F4" s="3" t="inlineStr">
        <is>
          <t>WACC, nominal</t>
        </is>
      </c>
      <c r="G4" s="3" t="inlineStr">
        <is>
          <t>Users pay ₹/kL</t>
        </is>
      </c>
      <c r="H4" s="3" t="inlineStr">
        <is>
          <t>Grant at G-sec ₹/kL</t>
        </is>
      </c>
      <c r="I4" s="3" t="inlineStr">
        <is>
          <t>Real cost of money</t>
        </is>
      </c>
    </row>
    <row r="5">
      <c r="A5" t="inlineStr">
        <is>
          <t>JICA loan via the state</t>
        </is>
      </c>
      <c r="B5" t="n">
        <v>0.85</v>
      </c>
      <c r="C5">
        <f>jica_rate+inr_jpy_dep</f>
        <v/>
      </c>
      <c r="D5" t="n">
        <v>0.074</v>
      </c>
      <c r="E5" t="n">
        <v>0</v>
      </c>
      <c r="F5" s="9">
        <f>B5*C5+(1-B5)*D5</f>
        <v/>
      </c>
      <c r="G5" s="10">
        <f>((1-E5)*SUMPRODUCT($B$13:$B$93/(1+$F$5)^$A$13:$A$93)+SUMPRODUCT($F$13:$F$93/(1+$F$5)^$A$13:$A$93))/SUMPRODUCT($G$13:$G$93/(1+$F$5)^$A$13:$A$93)</f>
        <v/>
      </c>
      <c r="H5" s="10">
        <f>(SUMPRODUCT($B$13:$B$93/(1+((1-E5)*$F$5+E5*0.074))^$A$13:$A$93)+SUMPRODUCT($F$13:$F$93/(1+((1-E5)*$F$5+E5*0.074))^$A$13:$A$93))/SUMPRODUCT($G$13:$G$93/(1+((1-E5)*$F$5+E5*0.074))^$A$13:$A$93)</f>
        <v/>
      </c>
      <c r="I5" s="9">
        <f>(1+F5)/(1+cpi)-1</f>
        <v/>
      </c>
    </row>
    <row r="6">
      <c r="A6" t="inlineStr">
        <is>
          <t>Municipal or revenue bond</t>
        </is>
      </c>
      <c r="B6" t="n">
        <v>0.8</v>
      </c>
      <c r="C6">
        <f>bond_rate</f>
        <v/>
      </c>
      <c r="D6" t="n">
        <v>0.074</v>
      </c>
      <c r="E6" t="n">
        <v>0</v>
      </c>
      <c r="F6" s="9">
        <f>B6*C6+(1-B6)*D6</f>
        <v/>
      </c>
      <c r="G6" s="10">
        <f>((1-E6)*SUMPRODUCT($B$13:$B$93/(1+$F$6)^$A$13:$A$93)+SUMPRODUCT($F$13:$F$93/(1+$F$6)^$A$13:$A$93))/SUMPRODUCT($G$13:$G$93/(1+$F$6)^$A$13:$A$93)</f>
        <v/>
      </c>
      <c r="H6" s="10">
        <f>(SUMPRODUCT($B$13:$B$93/(1+((1-E6)*$F$6+E6*0.074))^$A$13:$A$93)+SUMPRODUCT($F$13:$F$93/(1+((1-E6)*$F$6+E6*0.074))^$A$13:$A$93))/SUMPRODUCT($G$13:$G$93/(1+((1-E6)*$F$6+E6*0.074))^$A$13:$A$93)</f>
        <v/>
      </c>
      <c r="I6" s="9">
        <f>(1+F6)/(1+cpi)-1</f>
        <v/>
      </c>
    </row>
    <row r="7">
      <c r="A7" t="inlineStr">
        <is>
          <t>Hybrid annuity (HAM)</t>
        </is>
      </c>
      <c r="B7" t="n">
        <v>1</v>
      </c>
      <c r="C7">
        <f>ham_rate</f>
        <v/>
      </c>
      <c r="D7" t="n">
        <v>0.074</v>
      </c>
      <c r="E7" t="n">
        <v>0.4</v>
      </c>
      <c r="F7" s="9">
        <f>B7*C7+(1-B7)*D7</f>
        <v/>
      </c>
      <c r="G7" s="10">
        <f>((1-E7)*SUMPRODUCT($B$13:$B$93/(1+$F$7)^$A$13:$A$93)+SUMPRODUCT($F$13:$F$93/(1+$F$7)^$A$13:$A$93))/SUMPRODUCT($G$13:$G$93/(1+$F$7)^$A$13:$A$93)</f>
        <v/>
      </c>
      <c r="H7" s="10">
        <f>(SUMPRODUCT($B$13:$B$93/(1+((1-E7)*$F$7+E7*0.074))^$A$13:$A$93)+SUMPRODUCT($F$13:$F$93/(1+((1-E7)*$F$7+E7*0.074))^$A$13:$A$93))/SUMPRODUCT($G$13:$G$93/(1+((1-E7)*$F$7+E7*0.074))^$A$13:$A$93)</f>
        <v/>
      </c>
      <c r="I7" s="9">
        <f>(1+F7)/(1+cpi)-1</f>
        <v/>
      </c>
    </row>
    <row r="8">
      <c r="A8" t="inlineStr">
        <is>
          <t>Commercial PPP, ceiling case</t>
        </is>
      </c>
      <c r="B8" t="n">
        <v>0.7</v>
      </c>
      <c r="C8">
        <f>bond_rate*0+0.10</f>
        <v/>
      </c>
      <c r="D8">
        <f>ppp_equity/(1-tax)</f>
        <v/>
      </c>
      <c r="E8" t="n">
        <v>0</v>
      </c>
      <c r="F8" s="9">
        <f>B8*C8+(1-B8)*D8</f>
        <v/>
      </c>
      <c r="G8" s="10">
        <f>((1-E8)*SUMPRODUCT($B$13:$B$93/(1+$F$8)^$A$13:$A$93)+SUMPRODUCT($F$13:$F$93/(1+$F$8)^$A$13:$A$93))/SUMPRODUCT($G$13:$G$93/(1+$F$8)^$A$13:$A$93)</f>
        <v/>
      </c>
      <c r="H8" s="10">
        <f>(SUMPRODUCT($B$13:$B$93/(1+((1-E8)*$F$8+E8*0.074))^$A$13:$A$93)+SUMPRODUCT($F$13:$F$93/(1+((1-E8)*$F$8+E8*0.074))^$A$13:$A$93))/SUMPRODUCT($G$13:$G$93/(1+((1-E8)*$F$8+E8*0.074))^$A$13:$A$93)</f>
        <v/>
      </c>
      <c r="I8" s="9">
        <f>(1+F8)/(1+cpi)-1</f>
        <v/>
      </c>
    </row>
    <row r="9">
      <c r="A9" s="6" t="inlineStr">
        <is>
          <t>Real resource cost at a single 4% real rate</t>
        </is>
      </c>
      <c r="G9" s="10">
        <f>(SUMPRODUCT($B$13:$B$93/(1+((1.04)*(1+cpi)-1))^$A$13:$A$93)+SUMPRODUCT($F$13:$F$93/(1+((1.04)*(1+cpi)-1))^$A$13:$A$93))/SUMPRODUCT($G$13:$G$93/(1+((1.04)*(1+cpi)-1))^$A$13:$A$93)</f>
        <v/>
      </c>
    </row>
    <row r="10">
      <c r="A10" t="inlineStr">
        <is>
          <t>Lender tests (sculpted repayment, take-or-pay), from the page model at base inputs: JICA within tenor ₹30.9, 30-yr ₹29.4; BOND within tenor ₹59.1, 30-yr ₹39.2; HAM within tenor ₹42.9, 30-yr ₹33.1; PPP within tenor ₹53.3, 30-yr ₹41.0</t>
        </is>
      </c>
    </row>
    <row r="12">
      <c r="A12" s="3" t="inlineStr">
        <is>
          <t>Year t</t>
        </is>
      </c>
      <c r="B12" s="3" t="inlineStr">
        <is>
          <t>Capex, nominal ₹</t>
        </is>
      </c>
      <c r="C12" s="3" t="inlineStr">
        <is>
          <t>Operating year k</t>
        </is>
      </c>
      <c r="D12" s="3" t="inlineStr">
        <is>
          <t>Utilisation</t>
        </is>
      </c>
      <c r="E12" s="3" t="inlineStr">
        <is>
          <t>Volume kL</t>
        </is>
      </c>
      <c r="F12" s="3" t="inlineStr">
        <is>
          <t>Opex, nominal ₹</t>
        </is>
      </c>
      <c r="G12" s="3" t="inlineStr">
        <is>
          <t>Indexed volume</t>
        </is>
      </c>
    </row>
    <row r="13">
      <c r="A13" t="n">
        <v>0</v>
      </c>
      <c r="B13">
        <f>IF(A13&lt;build_yrs,capex_cr*(1+overrun)*1E7/build_yrs*(1+cpi)^(A13+0.5),0)</f>
        <v/>
      </c>
      <c r="C13">
        <f>IF(AND(A13&gt;=build_yrs,A13&lt;build_yrs+pf_life_yrs),A13-build_yrs+1,0)</f>
        <v/>
      </c>
      <c r="D13">
        <f>IF(C13=0,0,CHOOSE(MIN(C13,4),0.45,0.65,0.85,1))</f>
        <v/>
      </c>
      <c r="E13">
        <f>pf_mld*D13*365000</f>
        <v/>
      </c>
      <c r="F13">
        <f>IF(C13=0,0,(power_rs_kl*E13+fixed_cr_yr*1E7*(pf_mld/500)+insurance*capex_cr*(1+overrun)*1E7)*(1+cpi)^A13)</f>
        <v/>
      </c>
      <c r="G13">
        <f>E13*(1+cpi)^A13</f>
        <v/>
      </c>
    </row>
    <row r="14">
      <c r="A14" t="n">
        <v>1</v>
      </c>
      <c r="B14">
        <f>IF(A14&lt;build_yrs,capex_cr*(1+overrun)*1E7/build_yrs*(1+cpi)^(A14+0.5),0)</f>
        <v/>
      </c>
      <c r="C14">
        <f>IF(AND(A14&gt;=build_yrs,A14&lt;build_yrs+pf_life_yrs),A14-build_yrs+1,0)</f>
        <v/>
      </c>
      <c r="D14">
        <f>IF(C14=0,0,CHOOSE(MIN(C14,4),0.45,0.65,0.85,1))</f>
        <v/>
      </c>
      <c r="E14">
        <f>pf_mld*D14*365000</f>
        <v/>
      </c>
      <c r="F14">
        <f>IF(C14=0,0,(power_rs_kl*E14+fixed_cr_yr*1E7*(pf_mld/500)+insurance*capex_cr*(1+overrun)*1E7)*(1+cpi)^A14)</f>
        <v/>
      </c>
      <c r="G14">
        <f>E14*(1+cpi)^A14</f>
        <v/>
      </c>
    </row>
    <row r="15">
      <c r="A15" t="n">
        <v>2</v>
      </c>
      <c r="B15">
        <f>IF(A15&lt;build_yrs,capex_cr*(1+overrun)*1E7/build_yrs*(1+cpi)^(A15+0.5),0)</f>
        <v/>
      </c>
      <c r="C15">
        <f>IF(AND(A15&gt;=build_yrs,A15&lt;build_yrs+pf_life_yrs),A15-build_yrs+1,0)</f>
        <v/>
      </c>
      <c r="D15">
        <f>IF(C15=0,0,CHOOSE(MIN(C15,4),0.45,0.65,0.85,1))</f>
        <v/>
      </c>
      <c r="E15">
        <f>pf_mld*D15*365000</f>
        <v/>
      </c>
      <c r="F15">
        <f>IF(C15=0,0,(power_rs_kl*E15+fixed_cr_yr*1E7*(pf_mld/500)+insurance*capex_cr*(1+overrun)*1E7)*(1+cpi)^A15)</f>
        <v/>
      </c>
      <c r="G15">
        <f>E15*(1+cpi)^A15</f>
        <v/>
      </c>
    </row>
    <row r="16">
      <c r="A16" t="n">
        <v>3</v>
      </c>
      <c r="B16">
        <f>IF(A16&lt;build_yrs,capex_cr*(1+overrun)*1E7/build_yrs*(1+cpi)^(A16+0.5),0)</f>
        <v/>
      </c>
      <c r="C16">
        <f>IF(AND(A16&gt;=build_yrs,A16&lt;build_yrs+pf_life_yrs),A16-build_yrs+1,0)</f>
        <v/>
      </c>
      <c r="D16">
        <f>IF(C16=0,0,CHOOSE(MIN(C16,4),0.45,0.65,0.85,1))</f>
        <v/>
      </c>
      <c r="E16">
        <f>pf_mld*D16*365000</f>
        <v/>
      </c>
      <c r="F16">
        <f>IF(C16=0,0,(power_rs_kl*E16+fixed_cr_yr*1E7*(pf_mld/500)+insurance*capex_cr*(1+overrun)*1E7)*(1+cpi)^A16)</f>
        <v/>
      </c>
      <c r="G16">
        <f>E16*(1+cpi)^A16</f>
        <v/>
      </c>
    </row>
    <row r="17">
      <c r="A17" t="n">
        <v>4</v>
      </c>
      <c r="B17">
        <f>IF(A17&lt;build_yrs,capex_cr*(1+overrun)*1E7/build_yrs*(1+cpi)^(A17+0.5),0)</f>
        <v/>
      </c>
      <c r="C17">
        <f>IF(AND(A17&gt;=build_yrs,A17&lt;build_yrs+pf_life_yrs),A17-build_yrs+1,0)</f>
        <v/>
      </c>
      <c r="D17">
        <f>IF(C17=0,0,CHOOSE(MIN(C17,4),0.45,0.65,0.85,1))</f>
        <v/>
      </c>
      <c r="E17">
        <f>pf_mld*D17*365000</f>
        <v/>
      </c>
      <c r="F17">
        <f>IF(C17=0,0,(power_rs_kl*E17+fixed_cr_yr*1E7*(pf_mld/500)+insurance*capex_cr*(1+overrun)*1E7)*(1+cpi)^A17)</f>
        <v/>
      </c>
      <c r="G17">
        <f>E17*(1+cpi)^A17</f>
        <v/>
      </c>
    </row>
    <row r="18">
      <c r="A18" t="n">
        <v>5</v>
      </c>
      <c r="B18">
        <f>IF(A18&lt;build_yrs,capex_cr*(1+overrun)*1E7/build_yrs*(1+cpi)^(A18+0.5),0)</f>
        <v/>
      </c>
      <c r="C18">
        <f>IF(AND(A18&gt;=build_yrs,A18&lt;build_yrs+pf_life_yrs),A18-build_yrs+1,0)</f>
        <v/>
      </c>
      <c r="D18">
        <f>IF(C18=0,0,CHOOSE(MIN(C18,4),0.45,0.65,0.85,1))</f>
        <v/>
      </c>
      <c r="E18">
        <f>pf_mld*D18*365000</f>
        <v/>
      </c>
      <c r="F18">
        <f>IF(C18=0,0,(power_rs_kl*E18+fixed_cr_yr*1E7*(pf_mld/500)+insurance*capex_cr*(1+overrun)*1E7)*(1+cpi)^A18)</f>
        <v/>
      </c>
      <c r="G18">
        <f>E18*(1+cpi)^A18</f>
        <v/>
      </c>
    </row>
    <row r="19">
      <c r="A19" t="n">
        <v>6</v>
      </c>
      <c r="B19">
        <f>IF(A19&lt;build_yrs,capex_cr*(1+overrun)*1E7/build_yrs*(1+cpi)^(A19+0.5),0)</f>
        <v/>
      </c>
      <c r="C19">
        <f>IF(AND(A19&gt;=build_yrs,A19&lt;build_yrs+pf_life_yrs),A19-build_yrs+1,0)</f>
        <v/>
      </c>
      <c r="D19">
        <f>IF(C19=0,0,CHOOSE(MIN(C19,4),0.45,0.65,0.85,1))</f>
        <v/>
      </c>
      <c r="E19">
        <f>pf_mld*D19*365000</f>
        <v/>
      </c>
      <c r="F19">
        <f>IF(C19=0,0,(power_rs_kl*E19+fixed_cr_yr*1E7*(pf_mld/500)+insurance*capex_cr*(1+overrun)*1E7)*(1+cpi)^A19)</f>
        <v/>
      </c>
      <c r="G19">
        <f>E19*(1+cpi)^A19</f>
        <v/>
      </c>
    </row>
    <row r="20">
      <c r="A20" t="n">
        <v>7</v>
      </c>
      <c r="B20">
        <f>IF(A20&lt;build_yrs,capex_cr*(1+overrun)*1E7/build_yrs*(1+cpi)^(A20+0.5),0)</f>
        <v/>
      </c>
      <c r="C20">
        <f>IF(AND(A20&gt;=build_yrs,A20&lt;build_yrs+pf_life_yrs),A20-build_yrs+1,0)</f>
        <v/>
      </c>
      <c r="D20">
        <f>IF(C20=0,0,CHOOSE(MIN(C20,4),0.45,0.65,0.85,1))</f>
        <v/>
      </c>
      <c r="E20">
        <f>pf_mld*D20*365000</f>
        <v/>
      </c>
      <c r="F20">
        <f>IF(C20=0,0,(power_rs_kl*E20+fixed_cr_yr*1E7*(pf_mld/500)+insurance*capex_cr*(1+overrun)*1E7)*(1+cpi)^A20)</f>
        <v/>
      </c>
      <c r="G20">
        <f>E20*(1+cpi)^A20</f>
        <v/>
      </c>
    </row>
    <row r="21">
      <c r="A21" t="n">
        <v>8</v>
      </c>
      <c r="B21">
        <f>IF(A21&lt;build_yrs,capex_cr*(1+overrun)*1E7/build_yrs*(1+cpi)^(A21+0.5),0)</f>
        <v/>
      </c>
      <c r="C21">
        <f>IF(AND(A21&gt;=build_yrs,A21&lt;build_yrs+pf_life_yrs),A21-build_yrs+1,0)</f>
        <v/>
      </c>
      <c r="D21">
        <f>IF(C21=0,0,CHOOSE(MIN(C21,4),0.45,0.65,0.85,1))</f>
        <v/>
      </c>
      <c r="E21">
        <f>pf_mld*D21*365000</f>
        <v/>
      </c>
      <c r="F21">
        <f>IF(C21=0,0,(power_rs_kl*E21+fixed_cr_yr*1E7*(pf_mld/500)+insurance*capex_cr*(1+overrun)*1E7)*(1+cpi)^A21)</f>
        <v/>
      </c>
      <c r="G21">
        <f>E21*(1+cpi)^A21</f>
        <v/>
      </c>
    </row>
    <row r="22">
      <c r="A22" t="n">
        <v>9</v>
      </c>
      <c r="B22">
        <f>IF(A22&lt;build_yrs,capex_cr*(1+overrun)*1E7/build_yrs*(1+cpi)^(A22+0.5),0)</f>
        <v/>
      </c>
      <c r="C22">
        <f>IF(AND(A22&gt;=build_yrs,A22&lt;build_yrs+pf_life_yrs),A22-build_yrs+1,0)</f>
        <v/>
      </c>
      <c r="D22">
        <f>IF(C22=0,0,CHOOSE(MIN(C22,4),0.45,0.65,0.85,1))</f>
        <v/>
      </c>
      <c r="E22">
        <f>pf_mld*D22*365000</f>
        <v/>
      </c>
      <c r="F22">
        <f>IF(C22=0,0,(power_rs_kl*E22+fixed_cr_yr*1E7*(pf_mld/500)+insurance*capex_cr*(1+overrun)*1E7)*(1+cpi)^A22)</f>
        <v/>
      </c>
      <c r="G22">
        <f>E22*(1+cpi)^A22</f>
        <v/>
      </c>
    </row>
    <row r="23">
      <c r="A23" t="n">
        <v>10</v>
      </c>
      <c r="B23">
        <f>IF(A23&lt;build_yrs,capex_cr*(1+overrun)*1E7/build_yrs*(1+cpi)^(A23+0.5),0)</f>
        <v/>
      </c>
      <c r="C23">
        <f>IF(AND(A23&gt;=build_yrs,A23&lt;build_yrs+pf_life_yrs),A23-build_yrs+1,0)</f>
        <v/>
      </c>
      <c r="D23">
        <f>IF(C23=0,0,CHOOSE(MIN(C23,4),0.45,0.65,0.85,1))</f>
        <v/>
      </c>
      <c r="E23">
        <f>pf_mld*D23*365000</f>
        <v/>
      </c>
      <c r="F23">
        <f>IF(C23=0,0,(power_rs_kl*E23+fixed_cr_yr*1E7*(pf_mld/500)+insurance*capex_cr*(1+overrun)*1E7)*(1+cpi)^A23)</f>
        <v/>
      </c>
      <c r="G23">
        <f>E23*(1+cpi)^A23</f>
        <v/>
      </c>
    </row>
    <row r="24">
      <c r="A24" t="n">
        <v>11</v>
      </c>
      <c r="B24">
        <f>IF(A24&lt;build_yrs,capex_cr*(1+overrun)*1E7/build_yrs*(1+cpi)^(A24+0.5),0)</f>
        <v/>
      </c>
      <c r="C24">
        <f>IF(AND(A24&gt;=build_yrs,A24&lt;build_yrs+pf_life_yrs),A24-build_yrs+1,0)</f>
        <v/>
      </c>
      <c r="D24">
        <f>IF(C24=0,0,CHOOSE(MIN(C24,4),0.45,0.65,0.85,1))</f>
        <v/>
      </c>
      <c r="E24">
        <f>pf_mld*D24*365000</f>
        <v/>
      </c>
      <c r="F24">
        <f>IF(C24=0,0,(power_rs_kl*E24+fixed_cr_yr*1E7*(pf_mld/500)+insurance*capex_cr*(1+overrun)*1E7)*(1+cpi)^A24)</f>
        <v/>
      </c>
      <c r="G24">
        <f>E24*(1+cpi)^A24</f>
        <v/>
      </c>
    </row>
    <row r="25">
      <c r="A25" t="n">
        <v>12</v>
      </c>
      <c r="B25">
        <f>IF(A25&lt;build_yrs,capex_cr*(1+overrun)*1E7/build_yrs*(1+cpi)^(A25+0.5),0)</f>
        <v/>
      </c>
      <c r="C25">
        <f>IF(AND(A25&gt;=build_yrs,A25&lt;build_yrs+pf_life_yrs),A25-build_yrs+1,0)</f>
        <v/>
      </c>
      <c r="D25">
        <f>IF(C25=0,0,CHOOSE(MIN(C25,4),0.45,0.65,0.85,1))</f>
        <v/>
      </c>
      <c r="E25">
        <f>pf_mld*D25*365000</f>
        <v/>
      </c>
      <c r="F25">
        <f>IF(C25=0,0,(power_rs_kl*E25+fixed_cr_yr*1E7*(pf_mld/500)+insurance*capex_cr*(1+overrun)*1E7)*(1+cpi)^A25)</f>
        <v/>
      </c>
      <c r="G25">
        <f>E25*(1+cpi)^A25</f>
        <v/>
      </c>
    </row>
    <row r="26">
      <c r="A26" t="n">
        <v>13</v>
      </c>
      <c r="B26">
        <f>IF(A26&lt;build_yrs,capex_cr*(1+overrun)*1E7/build_yrs*(1+cpi)^(A26+0.5),0)</f>
        <v/>
      </c>
      <c r="C26">
        <f>IF(AND(A26&gt;=build_yrs,A26&lt;build_yrs+pf_life_yrs),A26-build_yrs+1,0)</f>
        <v/>
      </c>
      <c r="D26">
        <f>IF(C26=0,0,CHOOSE(MIN(C26,4),0.45,0.65,0.85,1))</f>
        <v/>
      </c>
      <c r="E26">
        <f>pf_mld*D26*365000</f>
        <v/>
      </c>
      <c r="F26">
        <f>IF(C26=0,0,(power_rs_kl*E26+fixed_cr_yr*1E7*(pf_mld/500)+insurance*capex_cr*(1+overrun)*1E7)*(1+cpi)^A26)</f>
        <v/>
      </c>
      <c r="G26">
        <f>E26*(1+cpi)^A26</f>
        <v/>
      </c>
    </row>
    <row r="27">
      <c r="A27" t="n">
        <v>14</v>
      </c>
      <c r="B27">
        <f>IF(A27&lt;build_yrs,capex_cr*(1+overrun)*1E7/build_yrs*(1+cpi)^(A27+0.5),0)</f>
        <v/>
      </c>
      <c r="C27">
        <f>IF(AND(A27&gt;=build_yrs,A27&lt;build_yrs+pf_life_yrs),A27-build_yrs+1,0)</f>
        <v/>
      </c>
      <c r="D27">
        <f>IF(C27=0,0,CHOOSE(MIN(C27,4),0.45,0.65,0.85,1))</f>
        <v/>
      </c>
      <c r="E27">
        <f>pf_mld*D27*365000</f>
        <v/>
      </c>
      <c r="F27">
        <f>IF(C27=0,0,(power_rs_kl*E27+fixed_cr_yr*1E7*(pf_mld/500)+insurance*capex_cr*(1+overrun)*1E7)*(1+cpi)^A27)</f>
        <v/>
      </c>
      <c r="G27">
        <f>E27*(1+cpi)^A27</f>
        <v/>
      </c>
    </row>
    <row r="28">
      <c r="A28" t="n">
        <v>15</v>
      </c>
      <c r="B28">
        <f>IF(A28&lt;build_yrs,capex_cr*(1+overrun)*1E7/build_yrs*(1+cpi)^(A28+0.5),0)</f>
        <v/>
      </c>
      <c r="C28">
        <f>IF(AND(A28&gt;=build_yrs,A28&lt;build_yrs+pf_life_yrs),A28-build_yrs+1,0)</f>
        <v/>
      </c>
      <c r="D28">
        <f>IF(C28=0,0,CHOOSE(MIN(C28,4),0.45,0.65,0.85,1))</f>
        <v/>
      </c>
      <c r="E28">
        <f>pf_mld*D28*365000</f>
        <v/>
      </c>
      <c r="F28">
        <f>IF(C28=0,0,(power_rs_kl*E28+fixed_cr_yr*1E7*(pf_mld/500)+insurance*capex_cr*(1+overrun)*1E7)*(1+cpi)^A28)</f>
        <v/>
      </c>
      <c r="G28">
        <f>E28*(1+cpi)^A28</f>
        <v/>
      </c>
    </row>
    <row r="29">
      <c r="A29" t="n">
        <v>16</v>
      </c>
      <c r="B29">
        <f>IF(A29&lt;build_yrs,capex_cr*(1+overrun)*1E7/build_yrs*(1+cpi)^(A29+0.5),0)</f>
        <v/>
      </c>
      <c r="C29">
        <f>IF(AND(A29&gt;=build_yrs,A29&lt;build_yrs+pf_life_yrs),A29-build_yrs+1,0)</f>
        <v/>
      </c>
      <c r="D29">
        <f>IF(C29=0,0,CHOOSE(MIN(C29,4),0.45,0.65,0.85,1))</f>
        <v/>
      </c>
      <c r="E29">
        <f>pf_mld*D29*365000</f>
        <v/>
      </c>
      <c r="F29">
        <f>IF(C29=0,0,(power_rs_kl*E29+fixed_cr_yr*1E7*(pf_mld/500)+insurance*capex_cr*(1+overrun)*1E7)*(1+cpi)^A29)</f>
        <v/>
      </c>
      <c r="G29">
        <f>E29*(1+cpi)^A29</f>
        <v/>
      </c>
    </row>
    <row r="30">
      <c r="A30" t="n">
        <v>17</v>
      </c>
      <c r="B30">
        <f>IF(A30&lt;build_yrs,capex_cr*(1+overrun)*1E7/build_yrs*(1+cpi)^(A30+0.5),0)</f>
        <v/>
      </c>
      <c r="C30">
        <f>IF(AND(A30&gt;=build_yrs,A30&lt;build_yrs+pf_life_yrs),A30-build_yrs+1,0)</f>
        <v/>
      </c>
      <c r="D30">
        <f>IF(C30=0,0,CHOOSE(MIN(C30,4),0.45,0.65,0.85,1))</f>
        <v/>
      </c>
      <c r="E30">
        <f>pf_mld*D30*365000</f>
        <v/>
      </c>
      <c r="F30">
        <f>IF(C30=0,0,(power_rs_kl*E30+fixed_cr_yr*1E7*(pf_mld/500)+insurance*capex_cr*(1+overrun)*1E7)*(1+cpi)^A30)</f>
        <v/>
      </c>
      <c r="G30">
        <f>E30*(1+cpi)^A30</f>
        <v/>
      </c>
    </row>
    <row r="31">
      <c r="A31" t="n">
        <v>18</v>
      </c>
      <c r="B31">
        <f>IF(A31&lt;build_yrs,capex_cr*(1+overrun)*1E7/build_yrs*(1+cpi)^(A31+0.5),0)</f>
        <v/>
      </c>
      <c r="C31">
        <f>IF(AND(A31&gt;=build_yrs,A31&lt;build_yrs+pf_life_yrs),A31-build_yrs+1,0)</f>
        <v/>
      </c>
      <c r="D31">
        <f>IF(C31=0,0,CHOOSE(MIN(C31,4),0.45,0.65,0.85,1))</f>
        <v/>
      </c>
      <c r="E31">
        <f>pf_mld*D31*365000</f>
        <v/>
      </c>
      <c r="F31">
        <f>IF(C31=0,0,(power_rs_kl*E31+fixed_cr_yr*1E7*(pf_mld/500)+insurance*capex_cr*(1+overrun)*1E7)*(1+cpi)^A31)</f>
        <v/>
      </c>
      <c r="G31">
        <f>E31*(1+cpi)^A31</f>
        <v/>
      </c>
    </row>
    <row r="32">
      <c r="A32" t="n">
        <v>19</v>
      </c>
      <c r="B32">
        <f>IF(A32&lt;build_yrs,capex_cr*(1+overrun)*1E7/build_yrs*(1+cpi)^(A32+0.5),0)</f>
        <v/>
      </c>
      <c r="C32">
        <f>IF(AND(A32&gt;=build_yrs,A32&lt;build_yrs+pf_life_yrs),A32-build_yrs+1,0)</f>
        <v/>
      </c>
      <c r="D32">
        <f>IF(C32=0,0,CHOOSE(MIN(C32,4),0.45,0.65,0.85,1))</f>
        <v/>
      </c>
      <c r="E32">
        <f>pf_mld*D32*365000</f>
        <v/>
      </c>
      <c r="F32">
        <f>IF(C32=0,0,(power_rs_kl*E32+fixed_cr_yr*1E7*(pf_mld/500)+insurance*capex_cr*(1+overrun)*1E7)*(1+cpi)^A32)</f>
        <v/>
      </c>
      <c r="G32">
        <f>E32*(1+cpi)^A32</f>
        <v/>
      </c>
    </row>
    <row r="33">
      <c r="A33" t="n">
        <v>20</v>
      </c>
      <c r="B33">
        <f>IF(A33&lt;build_yrs,capex_cr*(1+overrun)*1E7/build_yrs*(1+cpi)^(A33+0.5),0)</f>
        <v/>
      </c>
      <c r="C33">
        <f>IF(AND(A33&gt;=build_yrs,A33&lt;build_yrs+pf_life_yrs),A33-build_yrs+1,0)</f>
        <v/>
      </c>
      <c r="D33">
        <f>IF(C33=0,0,CHOOSE(MIN(C33,4),0.45,0.65,0.85,1))</f>
        <v/>
      </c>
      <c r="E33">
        <f>pf_mld*D33*365000</f>
        <v/>
      </c>
      <c r="F33">
        <f>IF(C33=0,0,(power_rs_kl*E33+fixed_cr_yr*1E7*(pf_mld/500)+insurance*capex_cr*(1+overrun)*1E7)*(1+cpi)^A33)</f>
        <v/>
      </c>
      <c r="G33">
        <f>E33*(1+cpi)^A33</f>
        <v/>
      </c>
    </row>
    <row r="34">
      <c r="A34" t="n">
        <v>21</v>
      </c>
      <c r="B34">
        <f>IF(A34&lt;build_yrs,capex_cr*(1+overrun)*1E7/build_yrs*(1+cpi)^(A34+0.5),0)</f>
        <v/>
      </c>
      <c r="C34">
        <f>IF(AND(A34&gt;=build_yrs,A34&lt;build_yrs+pf_life_yrs),A34-build_yrs+1,0)</f>
        <v/>
      </c>
      <c r="D34">
        <f>IF(C34=0,0,CHOOSE(MIN(C34,4),0.45,0.65,0.85,1))</f>
        <v/>
      </c>
      <c r="E34">
        <f>pf_mld*D34*365000</f>
        <v/>
      </c>
      <c r="F34">
        <f>IF(C34=0,0,(power_rs_kl*E34+fixed_cr_yr*1E7*(pf_mld/500)+insurance*capex_cr*(1+overrun)*1E7)*(1+cpi)^A34)</f>
        <v/>
      </c>
      <c r="G34">
        <f>E34*(1+cpi)^A34</f>
        <v/>
      </c>
    </row>
    <row r="35">
      <c r="A35" t="n">
        <v>22</v>
      </c>
      <c r="B35">
        <f>IF(A35&lt;build_yrs,capex_cr*(1+overrun)*1E7/build_yrs*(1+cpi)^(A35+0.5),0)</f>
        <v/>
      </c>
      <c r="C35">
        <f>IF(AND(A35&gt;=build_yrs,A35&lt;build_yrs+pf_life_yrs),A35-build_yrs+1,0)</f>
        <v/>
      </c>
      <c r="D35">
        <f>IF(C35=0,0,CHOOSE(MIN(C35,4),0.45,0.65,0.85,1))</f>
        <v/>
      </c>
      <c r="E35">
        <f>pf_mld*D35*365000</f>
        <v/>
      </c>
      <c r="F35">
        <f>IF(C35=0,0,(power_rs_kl*E35+fixed_cr_yr*1E7*(pf_mld/500)+insurance*capex_cr*(1+overrun)*1E7)*(1+cpi)^A35)</f>
        <v/>
      </c>
      <c r="G35">
        <f>E35*(1+cpi)^A35</f>
        <v/>
      </c>
    </row>
    <row r="36">
      <c r="A36" t="n">
        <v>23</v>
      </c>
      <c r="B36">
        <f>IF(A36&lt;build_yrs,capex_cr*(1+overrun)*1E7/build_yrs*(1+cpi)^(A36+0.5),0)</f>
        <v/>
      </c>
      <c r="C36">
        <f>IF(AND(A36&gt;=build_yrs,A36&lt;build_yrs+pf_life_yrs),A36-build_yrs+1,0)</f>
        <v/>
      </c>
      <c r="D36">
        <f>IF(C36=0,0,CHOOSE(MIN(C36,4),0.45,0.65,0.85,1))</f>
        <v/>
      </c>
      <c r="E36">
        <f>pf_mld*D36*365000</f>
        <v/>
      </c>
      <c r="F36">
        <f>IF(C36=0,0,(power_rs_kl*E36+fixed_cr_yr*1E7*(pf_mld/500)+insurance*capex_cr*(1+overrun)*1E7)*(1+cpi)^A36)</f>
        <v/>
      </c>
      <c r="G36">
        <f>E36*(1+cpi)^A36</f>
        <v/>
      </c>
    </row>
    <row r="37">
      <c r="A37" t="n">
        <v>24</v>
      </c>
      <c r="B37">
        <f>IF(A37&lt;build_yrs,capex_cr*(1+overrun)*1E7/build_yrs*(1+cpi)^(A37+0.5),0)</f>
        <v/>
      </c>
      <c r="C37">
        <f>IF(AND(A37&gt;=build_yrs,A37&lt;build_yrs+pf_life_yrs),A37-build_yrs+1,0)</f>
        <v/>
      </c>
      <c r="D37">
        <f>IF(C37=0,0,CHOOSE(MIN(C37,4),0.45,0.65,0.85,1))</f>
        <v/>
      </c>
      <c r="E37">
        <f>pf_mld*D37*365000</f>
        <v/>
      </c>
      <c r="F37">
        <f>IF(C37=0,0,(power_rs_kl*E37+fixed_cr_yr*1E7*(pf_mld/500)+insurance*capex_cr*(1+overrun)*1E7)*(1+cpi)^A37)</f>
        <v/>
      </c>
      <c r="G37">
        <f>E37*(1+cpi)^A37</f>
        <v/>
      </c>
    </row>
    <row r="38">
      <c r="A38" t="n">
        <v>25</v>
      </c>
      <c r="B38">
        <f>IF(A38&lt;build_yrs,capex_cr*(1+overrun)*1E7/build_yrs*(1+cpi)^(A38+0.5),0)</f>
        <v/>
      </c>
      <c r="C38">
        <f>IF(AND(A38&gt;=build_yrs,A38&lt;build_yrs+pf_life_yrs),A38-build_yrs+1,0)</f>
        <v/>
      </c>
      <c r="D38">
        <f>IF(C38=0,0,CHOOSE(MIN(C38,4),0.45,0.65,0.85,1))</f>
        <v/>
      </c>
      <c r="E38">
        <f>pf_mld*D38*365000</f>
        <v/>
      </c>
      <c r="F38">
        <f>IF(C38=0,0,(power_rs_kl*E38+fixed_cr_yr*1E7*(pf_mld/500)+insurance*capex_cr*(1+overrun)*1E7)*(1+cpi)^A38)</f>
        <v/>
      </c>
      <c r="G38">
        <f>E38*(1+cpi)^A38</f>
        <v/>
      </c>
    </row>
    <row r="39">
      <c r="A39" t="n">
        <v>26</v>
      </c>
      <c r="B39">
        <f>IF(A39&lt;build_yrs,capex_cr*(1+overrun)*1E7/build_yrs*(1+cpi)^(A39+0.5),0)</f>
        <v/>
      </c>
      <c r="C39">
        <f>IF(AND(A39&gt;=build_yrs,A39&lt;build_yrs+pf_life_yrs),A39-build_yrs+1,0)</f>
        <v/>
      </c>
      <c r="D39">
        <f>IF(C39=0,0,CHOOSE(MIN(C39,4),0.45,0.65,0.85,1))</f>
        <v/>
      </c>
      <c r="E39">
        <f>pf_mld*D39*365000</f>
        <v/>
      </c>
      <c r="F39">
        <f>IF(C39=0,0,(power_rs_kl*E39+fixed_cr_yr*1E7*(pf_mld/500)+insurance*capex_cr*(1+overrun)*1E7)*(1+cpi)^A39)</f>
        <v/>
      </c>
      <c r="G39">
        <f>E39*(1+cpi)^A39</f>
        <v/>
      </c>
    </row>
    <row r="40">
      <c r="A40" t="n">
        <v>27</v>
      </c>
      <c r="B40">
        <f>IF(A40&lt;build_yrs,capex_cr*(1+overrun)*1E7/build_yrs*(1+cpi)^(A40+0.5),0)</f>
        <v/>
      </c>
      <c r="C40">
        <f>IF(AND(A40&gt;=build_yrs,A40&lt;build_yrs+pf_life_yrs),A40-build_yrs+1,0)</f>
        <v/>
      </c>
      <c r="D40">
        <f>IF(C40=0,0,CHOOSE(MIN(C40,4),0.45,0.65,0.85,1))</f>
        <v/>
      </c>
      <c r="E40">
        <f>pf_mld*D40*365000</f>
        <v/>
      </c>
      <c r="F40">
        <f>IF(C40=0,0,(power_rs_kl*E40+fixed_cr_yr*1E7*(pf_mld/500)+insurance*capex_cr*(1+overrun)*1E7)*(1+cpi)^A40)</f>
        <v/>
      </c>
      <c r="G40">
        <f>E40*(1+cpi)^A40</f>
        <v/>
      </c>
    </row>
    <row r="41">
      <c r="A41" t="n">
        <v>28</v>
      </c>
      <c r="B41">
        <f>IF(A41&lt;build_yrs,capex_cr*(1+overrun)*1E7/build_yrs*(1+cpi)^(A41+0.5),0)</f>
        <v/>
      </c>
      <c r="C41">
        <f>IF(AND(A41&gt;=build_yrs,A41&lt;build_yrs+pf_life_yrs),A41-build_yrs+1,0)</f>
        <v/>
      </c>
      <c r="D41">
        <f>IF(C41=0,0,CHOOSE(MIN(C41,4),0.45,0.65,0.85,1))</f>
        <v/>
      </c>
      <c r="E41">
        <f>pf_mld*D41*365000</f>
        <v/>
      </c>
      <c r="F41">
        <f>IF(C41=0,0,(power_rs_kl*E41+fixed_cr_yr*1E7*(pf_mld/500)+insurance*capex_cr*(1+overrun)*1E7)*(1+cpi)^A41)</f>
        <v/>
      </c>
      <c r="G41">
        <f>E41*(1+cpi)^A41</f>
        <v/>
      </c>
    </row>
    <row r="42">
      <c r="A42" t="n">
        <v>29</v>
      </c>
      <c r="B42">
        <f>IF(A42&lt;build_yrs,capex_cr*(1+overrun)*1E7/build_yrs*(1+cpi)^(A42+0.5),0)</f>
        <v/>
      </c>
      <c r="C42">
        <f>IF(AND(A42&gt;=build_yrs,A42&lt;build_yrs+pf_life_yrs),A42-build_yrs+1,0)</f>
        <v/>
      </c>
      <c r="D42">
        <f>IF(C42=0,0,CHOOSE(MIN(C42,4),0.45,0.65,0.85,1))</f>
        <v/>
      </c>
      <c r="E42">
        <f>pf_mld*D42*365000</f>
        <v/>
      </c>
      <c r="F42">
        <f>IF(C42=0,0,(power_rs_kl*E42+fixed_cr_yr*1E7*(pf_mld/500)+insurance*capex_cr*(1+overrun)*1E7)*(1+cpi)^A42)</f>
        <v/>
      </c>
      <c r="G42">
        <f>E42*(1+cpi)^A42</f>
        <v/>
      </c>
    </row>
    <row r="43">
      <c r="A43" t="n">
        <v>30</v>
      </c>
      <c r="B43">
        <f>IF(A43&lt;build_yrs,capex_cr*(1+overrun)*1E7/build_yrs*(1+cpi)^(A43+0.5),0)</f>
        <v/>
      </c>
      <c r="C43">
        <f>IF(AND(A43&gt;=build_yrs,A43&lt;build_yrs+pf_life_yrs),A43-build_yrs+1,0)</f>
        <v/>
      </c>
      <c r="D43">
        <f>IF(C43=0,0,CHOOSE(MIN(C43,4),0.45,0.65,0.85,1))</f>
        <v/>
      </c>
      <c r="E43">
        <f>pf_mld*D43*365000</f>
        <v/>
      </c>
      <c r="F43">
        <f>IF(C43=0,0,(power_rs_kl*E43+fixed_cr_yr*1E7*(pf_mld/500)+insurance*capex_cr*(1+overrun)*1E7)*(1+cpi)^A43)</f>
        <v/>
      </c>
      <c r="G43">
        <f>E43*(1+cpi)^A43</f>
        <v/>
      </c>
    </row>
    <row r="44">
      <c r="A44" t="n">
        <v>31</v>
      </c>
      <c r="B44">
        <f>IF(A44&lt;build_yrs,capex_cr*(1+overrun)*1E7/build_yrs*(1+cpi)^(A44+0.5),0)</f>
        <v/>
      </c>
      <c r="C44">
        <f>IF(AND(A44&gt;=build_yrs,A44&lt;build_yrs+pf_life_yrs),A44-build_yrs+1,0)</f>
        <v/>
      </c>
      <c r="D44">
        <f>IF(C44=0,0,CHOOSE(MIN(C44,4),0.45,0.65,0.85,1))</f>
        <v/>
      </c>
      <c r="E44">
        <f>pf_mld*D44*365000</f>
        <v/>
      </c>
      <c r="F44">
        <f>IF(C44=0,0,(power_rs_kl*E44+fixed_cr_yr*1E7*(pf_mld/500)+insurance*capex_cr*(1+overrun)*1E7)*(1+cpi)^A44)</f>
        <v/>
      </c>
      <c r="G44">
        <f>E44*(1+cpi)^A44</f>
        <v/>
      </c>
    </row>
    <row r="45">
      <c r="A45" t="n">
        <v>32</v>
      </c>
      <c r="B45">
        <f>IF(A45&lt;build_yrs,capex_cr*(1+overrun)*1E7/build_yrs*(1+cpi)^(A45+0.5),0)</f>
        <v/>
      </c>
      <c r="C45">
        <f>IF(AND(A45&gt;=build_yrs,A45&lt;build_yrs+pf_life_yrs),A45-build_yrs+1,0)</f>
        <v/>
      </c>
      <c r="D45">
        <f>IF(C45=0,0,CHOOSE(MIN(C45,4),0.45,0.65,0.85,1))</f>
        <v/>
      </c>
      <c r="E45">
        <f>pf_mld*D45*365000</f>
        <v/>
      </c>
      <c r="F45">
        <f>IF(C45=0,0,(power_rs_kl*E45+fixed_cr_yr*1E7*(pf_mld/500)+insurance*capex_cr*(1+overrun)*1E7)*(1+cpi)^A45)</f>
        <v/>
      </c>
      <c r="G45">
        <f>E45*(1+cpi)^A45</f>
        <v/>
      </c>
    </row>
    <row r="46">
      <c r="A46" t="n">
        <v>33</v>
      </c>
      <c r="B46">
        <f>IF(A46&lt;build_yrs,capex_cr*(1+overrun)*1E7/build_yrs*(1+cpi)^(A46+0.5),0)</f>
        <v/>
      </c>
      <c r="C46">
        <f>IF(AND(A46&gt;=build_yrs,A46&lt;build_yrs+pf_life_yrs),A46-build_yrs+1,0)</f>
        <v/>
      </c>
      <c r="D46">
        <f>IF(C46=0,0,CHOOSE(MIN(C46,4),0.45,0.65,0.85,1))</f>
        <v/>
      </c>
      <c r="E46">
        <f>pf_mld*D46*365000</f>
        <v/>
      </c>
      <c r="F46">
        <f>IF(C46=0,0,(power_rs_kl*E46+fixed_cr_yr*1E7*(pf_mld/500)+insurance*capex_cr*(1+overrun)*1E7)*(1+cpi)^A46)</f>
        <v/>
      </c>
      <c r="G46">
        <f>E46*(1+cpi)^A46</f>
        <v/>
      </c>
    </row>
    <row r="47">
      <c r="A47" t="n">
        <v>34</v>
      </c>
      <c r="B47">
        <f>IF(A47&lt;build_yrs,capex_cr*(1+overrun)*1E7/build_yrs*(1+cpi)^(A47+0.5),0)</f>
        <v/>
      </c>
      <c r="C47">
        <f>IF(AND(A47&gt;=build_yrs,A47&lt;build_yrs+pf_life_yrs),A47-build_yrs+1,0)</f>
        <v/>
      </c>
      <c r="D47">
        <f>IF(C47=0,0,CHOOSE(MIN(C47,4),0.45,0.65,0.85,1))</f>
        <v/>
      </c>
      <c r="E47">
        <f>pf_mld*D47*365000</f>
        <v/>
      </c>
      <c r="F47">
        <f>IF(C47=0,0,(power_rs_kl*E47+fixed_cr_yr*1E7*(pf_mld/500)+insurance*capex_cr*(1+overrun)*1E7)*(1+cpi)^A47)</f>
        <v/>
      </c>
      <c r="G47">
        <f>E47*(1+cpi)^A47</f>
        <v/>
      </c>
    </row>
    <row r="48">
      <c r="A48" t="n">
        <v>35</v>
      </c>
      <c r="B48">
        <f>IF(A48&lt;build_yrs,capex_cr*(1+overrun)*1E7/build_yrs*(1+cpi)^(A48+0.5),0)</f>
        <v/>
      </c>
      <c r="C48">
        <f>IF(AND(A48&gt;=build_yrs,A48&lt;build_yrs+pf_life_yrs),A48-build_yrs+1,0)</f>
        <v/>
      </c>
      <c r="D48">
        <f>IF(C48=0,0,CHOOSE(MIN(C48,4),0.45,0.65,0.85,1))</f>
        <v/>
      </c>
      <c r="E48">
        <f>pf_mld*D48*365000</f>
        <v/>
      </c>
      <c r="F48">
        <f>IF(C48=0,0,(power_rs_kl*E48+fixed_cr_yr*1E7*(pf_mld/500)+insurance*capex_cr*(1+overrun)*1E7)*(1+cpi)^A48)</f>
        <v/>
      </c>
      <c r="G48">
        <f>E48*(1+cpi)^A48</f>
        <v/>
      </c>
    </row>
    <row r="49">
      <c r="A49" t="n">
        <v>36</v>
      </c>
      <c r="B49">
        <f>IF(A49&lt;build_yrs,capex_cr*(1+overrun)*1E7/build_yrs*(1+cpi)^(A49+0.5),0)</f>
        <v/>
      </c>
      <c r="C49">
        <f>IF(AND(A49&gt;=build_yrs,A49&lt;build_yrs+pf_life_yrs),A49-build_yrs+1,0)</f>
        <v/>
      </c>
      <c r="D49">
        <f>IF(C49=0,0,CHOOSE(MIN(C49,4),0.45,0.65,0.85,1))</f>
        <v/>
      </c>
      <c r="E49">
        <f>pf_mld*D49*365000</f>
        <v/>
      </c>
      <c r="F49">
        <f>IF(C49=0,0,(power_rs_kl*E49+fixed_cr_yr*1E7*(pf_mld/500)+insurance*capex_cr*(1+overrun)*1E7)*(1+cpi)^A49)</f>
        <v/>
      </c>
      <c r="G49">
        <f>E49*(1+cpi)^A49</f>
        <v/>
      </c>
    </row>
    <row r="50">
      <c r="A50" t="n">
        <v>37</v>
      </c>
      <c r="B50">
        <f>IF(A50&lt;build_yrs,capex_cr*(1+overrun)*1E7/build_yrs*(1+cpi)^(A50+0.5),0)</f>
        <v/>
      </c>
      <c r="C50">
        <f>IF(AND(A50&gt;=build_yrs,A50&lt;build_yrs+pf_life_yrs),A50-build_yrs+1,0)</f>
        <v/>
      </c>
      <c r="D50">
        <f>IF(C50=0,0,CHOOSE(MIN(C50,4),0.45,0.65,0.85,1))</f>
        <v/>
      </c>
      <c r="E50">
        <f>pf_mld*D50*365000</f>
        <v/>
      </c>
      <c r="F50">
        <f>IF(C50=0,0,(power_rs_kl*E50+fixed_cr_yr*1E7*(pf_mld/500)+insurance*capex_cr*(1+overrun)*1E7)*(1+cpi)^A50)</f>
        <v/>
      </c>
      <c r="G50">
        <f>E50*(1+cpi)^A50</f>
        <v/>
      </c>
    </row>
    <row r="51">
      <c r="A51" t="n">
        <v>38</v>
      </c>
      <c r="B51">
        <f>IF(A51&lt;build_yrs,capex_cr*(1+overrun)*1E7/build_yrs*(1+cpi)^(A51+0.5),0)</f>
        <v/>
      </c>
      <c r="C51">
        <f>IF(AND(A51&gt;=build_yrs,A51&lt;build_yrs+pf_life_yrs),A51-build_yrs+1,0)</f>
        <v/>
      </c>
      <c r="D51">
        <f>IF(C51=0,0,CHOOSE(MIN(C51,4),0.45,0.65,0.85,1))</f>
        <v/>
      </c>
      <c r="E51">
        <f>pf_mld*D51*365000</f>
        <v/>
      </c>
      <c r="F51">
        <f>IF(C51=0,0,(power_rs_kl*E51+fixed_cr_yr*1E7*(pf_mld/500)+insurance*capex_cr*(1+overrun)*1E7)*(1+cpi)^A51)</f>
        <v/>
      </c>
      <c r="G51">
        <f>E51*(1+cpi)^A51</f>
        <v/>
      </c>
    </row>
    <row r="52">
      <c r="A52" t="n">
        <v>39</v>
      </c>
      <c r="B52">
        <f>IF(A52&lt;build_yrs,capex_cr*(1+overrun)*1E7/build_yrs*(1+cpi)^(A52+0.5),0)</f>
        <v/>
      </c>
      <c r="C52">
        <f>IF(AND(A52&gt;=build_yrs,A52&lt;build_yrs+pf_life_yrs),A52-build_yrs+1,0)</f>
        <v/>
      </c>
      <c r="D52">
        <f>IF(C52=0,0,CHOOSE(MIN(C52,4),0.45,0.65,0.85,1))</f>
        <v/>
      </c>
      <c r="E52">
        <f>pf_mld*D52*365000</f>
        <v/>
      </c>
      <c r="F52">
        <f>IF(C52=0,0,(power_rs_kl*E52+fixed_cr_yr*1E7*(pf_mld/500)+insurance*capex_cr*(1+overrun)*1E7)*(1+cpi)^A52)</f>
        <v/>
      </c>
      <c r="G52">
        <f>E52*(1+cpi)^A52</f>
        <v/>
      </c>
    </row>
    <row r="53">
      <c r="A53" t="n">
        <v>40</v>
      </c>
      <c r="B53">
        <f>IF(A53&lt;build_yrs,capex_cr*(1+overrun)*1E7/build_yrs*(1+cpi)^(A53+0.5),0)</f>
        <v/>
      </c>
      <c r="C53">
        <f>IF(AND(A53&gt;=build_yrs,A53&lt;build_yrs+pf_life_yrs),A53-build_yrs+1,0)</f>
        <v/>
      </c>
      <c r="D53">
        <f>IF(C53=0,0,CHOOSE(MIN(C53,4),0.45,0.65,0.85,1))</f>
        <v/>
      </c>
      <c r="E53">
        <f>pf_mld*D53*365000</f>
        <v/>
      </c>
      <c r="F53">
        <f>IF(C53=0,0,(power_rs_kl*E53+fixed_cr_yr*1E7*(pf_mld/500)+insurance*capex_cr*(1+overrun)*1E7)*(1+cpi)^A53)</f>
        <v/>
      </c>
      <c r="G53">
        <f>E53*(1+cpi)^A53</f>
        <v/>
      </c>
    </row>
    <row r="54">
      <c r="A54" t="n">
        <v>41</v>
      </c>
      <c r="B54">
        <f>IF(A54&lt;build_yrs,capex_cr*(1+overrun)*1E7/build_yrs*(1+cpi)^(A54+0.5),0)</f>
        <v/>
      </c>
      <c r="C54">
        <f>IF(AND(A54&gt;=build_yrs,A54&lt;build_yrs+pf_life_yrs),A54-build_yrs+1,0)</f>
        <v/>
      </c>
      <c r="D54">
        <f>IF(C54=0,0,CHOOSE(MIN(C54,4),0.45,0.65,0.85,1))</f>
        <v/>
      </c>
      <c r="E54">
        <f>pf_mld*D54*365000</f>
        <v/>
      </c>
      <c r="F54">
        <f>IF(C54=0,0,(power_rs_kl*E54+fixed_cr_yr*1E7*(pf_mld/500)+insurance*capex_cr*(1+overrun)*1E7)*(1+cpi)^A54)</f>
        <v/>
      </c>
      <c r="G54">
        <f>E54*(1+cpi)^A54</f>
        <v/>
      </c>
    </row>
    <row r="55">
      <c r="A55" t="n">
        <v>42</v>
      </c>
      <c r="B55">
        <f>IF(A55&lt;build_yrs,capex_cr*(1+overrun)*1E7/build_yrs*(1+cpi)^(A55+0.5),0)</f>
        <v/>
      </c>
      <c r="C55">
        <f>IF(AND(A55&gt;=build_yrs,A55&lt;build_yrs+pf_life_yrs),A55-build_yrs+1,0)</f>
        <v/>
      </c>
      <c r="D55">
        <f>IF(C55=0,0,CHOOSE(MIN(C55,4),0.45,0.65,0.85,1))</f>
        <v/>
      </c>
      <c r="E55">
        <f>pf_mld*D55*365000</f>
        <v/>
      </c>
      <c r="F55">
        <f>IF(C55=0,0,(power_rs_kl*E55+fixed_cr_yr*1E7*(pf_mld/500)+insurance*capex_cr*(1+overrun)*1E7)*(1+cpi)^A55)</f>
        <v/>
      </c>
      <c r="G55">
        <f>E55*(1+cpi)^A55</f>
        <v/>
      </c>
    </row>
    <row r="56">
      <c r="A56" t="n">
        <v>43</v>
      </c>
      <c r="B56">
        <f>IF(A56&lt;build_yrs,capex_cr*(1+overrun)*1E7/build_yrs*(1+cpi)^(A56+0.5),0)</f>
        <v/>
      </c>
      <c r="C56">
        <f>IF(AND(A56&gt;=build_yrs,A56&lt;build_yrs+pf_life_yrs),A56-build_yrs+1,0)</f>
        <v/>
      </c>
      <c r="D56">
        <f>IF(C56=0,0,CHOOSE(MIN(C56,4),0.45,0.65,0.85,1))</f>
        <v/>
      </c>
      <c r="E56">
        <f>pf_mld*D56*365000</f>
        <v/>
      </c>
      <c r="F56">
        <f>IF(C56=0,0,(power_rs_kl*E56+fixed_cr_yr*1E7*(pf_mld/500)+insurance*capex_cr*(1+overrun)*1E7)*(1+cpi)^A56)</f>
        <v/>
      </c>
      <c r="G56">
        <f>E56*(1+cpi)^A56</f>
        <v/>
      </c>
    </row>
    <row r="57">
      <c r="A57" t="n">
        <v>44</v>
      </c>
      <c r="B57">
        <f>IF(A57&lt;build_yrs,capex_cr*(1+overrun)*1E7/build_yrs*(1+cpi)^(A57+0.5),0)</f>
        <v/>
      </c>
      <c r="C57">
        <f>IF(AND(A57&gt;=build_yrs,A57&lt;build_yrs+pf_life_yrs),A57-build_yrs+1,0)</f>
        <v/>
      </c>
      <c r="D57">
        <f>IF(C57=0,0,CHOOSE(MIN(C57,4),0.45,0.65,0.85,1))</f>
        <v/>
      </c>
      <c r="E57">
        <f>pf_mld*D57*365000</f>
        <v/>
      </c>
      <c r="F57">
        <f>IF(C57=0,0,(power_rs_kl*E57+fixed_cr_yr*1E7*(pf_mld/500)+insurance*capex_cr*(1+overrun)*1E7)*(1+cpi)^A57)</f>
        <v/>
      </c>
      <c r="G57">
        <f>E57*(1+cpi)^A57</f>
        <v/>
      </c>
    </row>
    <row r="58">
      <c r="A58" t="n">
        <v>45</v>
      </c>
      <c r="B58">
        <f>IF(A58&lt;build_yrs,capex_cr*(1+overrun)*1E7/build_yrs*(1+cpi)^(A58+0.5),0)</f>
        <v/>
      </c>
      <c r="C58">
        <f>IF(AND(A58&gt;=build_yrs,A58&lt;build_yrs+pf_life_yrs),A58-build_yrs+1,0)</f>
        <v/>
      </c>
      <c r="D58">
        <f>IF(C58=0,0,CHOOSE(MIN(C58,4),0.45,0.65,0.85,1))</f>
        <v/>
      </c>
      <c r="E58">
        <f>pf_mld*D58*365000</f>
        <v/>
      </c>
      <c r="F58">
        <f>IF(C58=0,0,(power_rs_kl*E58+fixed_cr_yr*1E7*(pf_mld/500)+insurance*capex_cr*(1+overrun)*1E7)*(1+cpi)^A58)</f>
        <v/>
      </c>
      <c r="G58">
        <f>E58*(1+cpi)^A58</f>
        <v/>
      </c>
    </row>
    <row r="59">
      <c r="A59" t="n">
        <v>46</v>
      </c>
      <c r="B59">
        <f>IF(A59&lt;build_yrs,capex_cr*(1+overrun)*1E7/build_yrs*(1+cpi)^(A59+0.5),0)</f>
        <v/>
      </c>
      <c r="C59">
        <f>IF(AND(A59&gt;=build_yrs,A59&lt;build_yrs+pf_life_yrs),A59-build_yrs+1,0)</f>
        <v/>
      </c>
      <c r="D59">
        <f>IF(C59=0,0,CHOOSE(MIN(C59,4),0.45,0.65,0.85,1))</f>
        <v/>
      </c>
      <c r="E59">
        <f>pf_mld*D59*365000</f>
        <v/>
      </c>
      <c r="F59">
        <f>IF(C59=0,0,(power_rs_kl*E59+fixed_cr_yr*1E7*(pf_mld/500)+insurance*capex_cr*(1+overrun)*1E7)*(1+cpi)^A59)</f>
        <v/>
      </c>
      <c r="G59">
        <f>E59*(1+cpi)^A59</f>
        <v/>
      </c>
    </row>
    <row r="60">
      <c r="A60" t="n">
        <v>47</v>
      </c>
      <c r="B60">
        <f>IF(A60&lt;build_yrs,capex_cr*(1+overrun)*1E7/build_yrs*(1+cpi)^(A60+0.5),0)</f>
        <v/>
      </c>
      <c r="C60">
        <f>IF(AND(A60&gt;=build_yrs,A60&lt;build_yrs+pf_life_yrs),A60-build_yrs+1,0)</f>
        <v/>
      </c>
      <c r="D60">
        <f>IF(C60=0,0,CHOOSE(MIN(C60,4),0.45,0.65,0.85,1))</f>
        <v/>
      </c>
      <c r="E60">
        <f>pf_mld*D60*365000</f>
        <v/>
      </c>
      <c r="F60">
        <f>IF(C60=0,0,(power_rs_kl*E60+fixed_cr_yr*1E7*(pf_mld/500)+insurance*capex_cr*(1+overrun)*1E7)*(1+cpi)^A60)</f>
        <v/>
      </c>
      <c r="G60">
        <f>E60*(1+cpi)^A60</f>
        <v/>
      </c>
    </row>
    <row r="61">
      <c r="A61" t="n">
        <v>48</v>
      </c>
      <c r="B61">
        <f>IF(A61&lt;build_yrs,capex_cr*(1+overrun)*1E7/build_yrs*(1+cpi)^(A61+0.5),0)</f>
        <v/>
      </c>
      <c r="C61">
        <f>IF(AND(A61&gt;=build_yrs,A61&lt;build_yrs+pf_life_yrs),A61-build_yrs+1,0)</f>
        <v/>
      </c>
      <c r="D61">
        <f>IF(C61=0,0,CHOOSE(MIN(C61,4),0.45,0.65,0.85,1))</f>
        <v/>
      </c>
      <c r="E61">
        <f>pf_mld*D61*365000</f>
        <v/>
      </c>
      <c r="F61">
        <f>IF(C61=0,0,(power_rs_kl*E61+fixed_cr_yr*1E7*(pf_mld/500)+insurance*capex_cr*(1+overrun)*1E7)*(1+cpi)^A61)</f>
        <v/>
      </c>
      <c r="G61">
        <f>E61*(1+cpi)^A61</f>
        <v/>
      </c>
    </row>
    <row r="62">
      <c r="A62" t="n">
        <v>49</v>
      </c>
      <c r="B62">
        <f>IF(A62&lt;build_yrs,capex_cr*(1+overrun)*1E7/build_yrs*(1+cpi)^(A62+0.5),0)</f>
        <v/>
      </c>
      <c r="C62">
        <f>IF(AND(A62&gt;=build_yrs,A62&lt;build_yrs+pf_life_yrs),A62-build_yrs+1,0)</f>
        <v/>
      </c>
      <c r="D62">
        <f>IF(C62=0,0,CHOOSE(MIN(C62,4),0.45,0.65,0.85,1))</f>
        <v/>
      </c>
      <c r="E62">
        <f>pf_mld*D62*365000</f>
        <v/>
      </c>
      <c r="F62">
        <f>IF(C62=0,0,(power_rs_kl*E62+fixed_cr_yr*1E7*(pf_mld/500)+insurance*capex_cr*(1+overrun)*1E7)*(1+cpi)^A62)</f>
        <v/>
      </c>
      <c r="G62">
        <f>E62*(1+cpi)^A62</f>
        <v/>
      </c>
    </row>
    <row r="63">
      <c r="A63" t="n">
        <v>50</v>
      </c>
      <c r="B63">
        <f>IF(A63&lt;build_yrs,capex_cr*(1+overrun)*1E7/build_yrs*(1+cpi)^(A63+0.5),0)</f>
        <v/>
      </c>
      <c r="C63">
        <f>IF(AND(A63&gt;=build_yrs,A63&lt;build_yrs+pf_life_yrs),A63-build_yrs+1,0)</f>
        <v/>
      </c>
      <c r="D63">
        <f>IF(C63=0,0,CHOOSE(MIN(C63,4),0.45,0.65,0.85,1))</f>
        <v/>
      </c>
      <c r="E63">
        <f>pf_mld*D63*365000</f>
        <v/>
      </c>
      <c r="F63">
        <f>IF(C63=0,0,(power_rs_kl*E63+fixed_cr_yr*1E7*(pf_mld/500)+insurance*capex_cr*(1+overrun)*1E7)*(1+cpi)^A63)</f>
        <v/>
      </c>
      <c r="G63">
        <f>E63*(1+cpi)^A63</f>
        <v/>
      </c>
    </row>
    <row r="64">
      <c r="A64" t="n">
        <v>51</v>
      </c>
      <c r="B64">
        <f>IF(A64&lt;build_yrs,capex_cr*(1+overrun)*1E7/build_yrs*(1+cpi)^(A64+0.5),0)</f>
        <v/>
      </c>
      <c r="C64">
        <f>IF(AND(A64&gt;=build_yrs,A64&lt;build_yrs+pf_life_yrs),A64-build_yrs+1,0)</f>
        <v/>
      </c>
      <c r="D64">
        <f>IF(C64=0,0,CHOOSE(MIN(C64,4),0.45,0.65,0.85,1))</f>
        <v/>
      </c>
      <c r="E64">
        <f>pf_mld*D64*365000</f>
        <v/>
      </c>
      <c r="F64">
        <f>IF(C64=0,0,(power_rs_kl*E64+fixed_cr_yr*1E7*(pf_mld/500)+insurance*capex_cr*(1+overrun)*1E7)*(1+cpi)^A64)</f>
        <v/>
      </c>
      <c r="G64">
        <f>E64*(1+cpi)^A64</f>
        <v/>
      </c>
    </row>
    <row r="65">
      <c r="A65" t="n">
        <v>52</v>
      </c>
      <c r="B65">
        <f>IF(A65&lt;build_yrs,capex_cr*(1+overrun)*1E7/build_yrs*(1+cpi)^(A65+0.5),0)</f>
        <v/>
      </c>
      <c r="C65">
        <f>IF(AND(A65&gt;=build_yrs,A65&lt;build_yrs+pf_life_yrs),A65-build_yrs+1,0)</f>
        <v/>
      </c>
      <c r="D65">
        <f>IF(C65=0,0,CHOOSE(MIN(C65,4),0.45,0.65,0.85,1))</f>
        <v/>
      </c>
      <c r="E65">
        <f>pf_mld*D65*365000</f>
        <v/>
      </c>
      <c r="F65">
        <f>IF(C65=0,0,(power_rs_kl*E65+fixed_cr_yr*1E7*(pf_mld/500)+insurance*capex_cr*(1+overrun)*1E7)*(1+cpi)^A65)</f>
        <v/>
      </c>
      <c r="G65">
        <f>E65*(1+cpi)^A65</f>
        <v/>
      </c>
    </row>
    <row r="66">
      <c r="A66" t="n">
        <v>53</v>
      </c>
      <c r="B66">
        <f>IF(A66&lt;build_yrs,capex_cr*(1+overrun)*1E7/build_yrs*(1+cpi)^(A66+0.5),0)</f>
        <v/>
      </c>
      <c r="C66">
        <f>IF(AND(A66&gt;=build_yrs,A66&lt;build_yrs+pf_life_yrs),A66-build_yrs+1,0)</f>
        <v/>
      </c>
      <c r="D66">
        <f>IF(C66=0,0,CHOOSE(MIN(C66,4),0.45,0.65,0.85,1))</f>
        <v/>
      </c>
      <c r="E66">
        <f>pf_mld*D66*365000</f>
        <v/>
      </c>
      <c r="F66">
        <f>IF(C66=0,0,(power_rs_kl*E66+fixed_cr_yr*1E7*(pf_mld/500)+insurance*capex_cr*(1+overrun)*1E7)*(1+cpi)^A66)</f>
        <v/>
      </c>
      <c r="G66">
        <f>E66*(1+cpi)^A66</f>
        <v/>
      </c>
    </row>
    <row r="67">
      <c r="A67" t="n">
        <v>54</v>
      </c>
      <c r="B67">
        <f>IF(A67&lt;build_yrs,capex_cr*(1+overrun)*1E7/build_yrs*(1+cpi)^(A67+0.5),0)</f>
        <v/>
      </c>
      <c r="C67">
        <f>IF(AND(A67&gt;=build_yrs,A67&lt;build_yrs+pf_life_yrs),A67-build_yrs+1,0)</f>
        <v/>
      </c>
      <c r="D67">
        <f>IF(C67=0,0,CHOOSE(MIN(C67,4),0.45,0.65,0.85,1))</f>
        <v/>
      </c>
      <c r="E67">
        <f>pf_mld*D67*365000</f>
        <v/>
      </c>
      <c r="F67">
        <f>IF(C67=0,0,(power_rs_kl*E67+fixed_cr_yr*1E7*(pf_mld/500)+insurance*capex_cr*(1+overrun)*1E7)*(1+cpi)^A67)</f>
        <v/>
      </c>
      <c r="G67">
        <f>E67*(1+cpi)^A67</f>
        <v/>
      </c>
    </row>
    <row r="68">
      <c r="A68" t="n">
        <v>55</v>
      </c>
      <c r="B68">
        <f>IF(A68&lt;build_yrs,capex_cr*(1+overrun)*1E7/build_yrs*(1+cpi)^(A68+0.5),0)</f>
        <v/>
      </c>
      <c r="C68">
        <f>IF(AND(A68&gt;=build_yrs,A68&lt;build_yrs+pf_life_yrs),A68-build_yrs+1,0)</f>
        <v/>
      </c>
      <c r="D68">
        <f>IF(C68=0,0,CHOOSE(MIN(C68,4),0.45,0.65,0.85,1))</f>
        <v/>
      </c>
      <c r="E68">
        <f>pf_mld*D68*365000</f>
        <v/>
      </c>
      <c r="F68">
        <f>IF(C68=0,0,(power_rs_kl*E68+fixed_cr_yr*1E7*(pf_mld/500)+insurance*capex_cr*(1+overrun)*1E7)*(1+cpi)^A68)</f>
        <v/>
      </c>
      <c r="G68">
        <f>E68*(1+cpi)^A68</f>
        <v/>
      </c>
    </row>
    <row r="69">
      <c r="A69" t="n">
        <v>56</v>
      </c>
      <c r="B69">
        <f>IF(A69&lt;build_yrs,capex_cr*(1+overrun)*1E7/build_yrs*(1+cpi)^(A69+0.5),0)</f>
        <v/>
      </c>
      <c r="C69">
        <f>IF(AND(A69&gt;=build_yrs,A69&lt;build_yrs+pf_life_yrs),A69-build_yrs+1,0)</f>
        <v/>
      </c>
      <c r="D69">
        <f>IF(C69=0,0,CHOOSE(MIN(C69,4),0.45,0.65,0.85,1))</f>
        <v/>
      </c>
      <c r="E69">
        <f>pf_mld*D69*365000</f>
        <v/>
      </c>
      <c r="F69">
        <f>IF(C69=0,0,(power_rs_kl*E69+fixed_cr_yr*1E7*(pf_mld/500)+insurance*capex_cr*(1+overrun)*1E7)*(1+cpi)^A69)</f>
        <v/>
      </c>
      <c r="G69">
        <f>E69*(1+cpi)^A69</f>
        <v/>
      </c>
    </row>
    <row r="70">
      <c r="A70" t="n">
        <v>57</v>
      </c>
      <c r="B70">
        <f>IF(A70&lt;build_yrs,capex_cr*(1+overrun)*1E7/build_yrs*(1+cpi)^(A70+0.5),0)</f>
        <v/>
      </c>
      <c r="C70">
        <f>IF(AND(A70&gt;=build_yrs,A70&lt;build_yrs+pf_life_yrs),A70-build_yrs+1,0)</f>
        <v/>
      </c>
      <c r="D70">
        <f>IF(C70=0,0,CHOOSE(MIN(C70,4),0.45,0.65,0.85,1))</f>
        <v/>
      </c>
      <c r="E70">
        <f>pf_mld*D70*365000</f>
        <v/>
      </c>
      <c r="F70">
        <f>IF(C70=0,0,(power_rs_kl*E70+fixed_cr_yr*1E7*(pf_mld/500)+insurance*capex_cr*(1+overrun)*1E7)*(1+cpi)^A70)</f>
        <v/>
      </c>
      <c r="G70">
        <f>E70*(1+cpi)^A70</f>
        <v/>
      </c>
    </row>
    <row r="71">
      <c r="A71" t="n">
        <v>58</v>
      </c>
      <c r="B71">
        <f>IF(A71&lt;build_yrs,capex_cr*(1+overrun)*1E7/build_yrs*(1+cpi)^(A71+0.5),0)</f>
        <v/>
      </c>
      <c r="C71">
        <f>IF(AND(A71&gt;=build_yrs,A71&lt;build_yrs+pf_life_yrs),A71-build_yrs+1,0)</f>
        <v/>
      </c>
      <c r="D71">
        <f>IF(C71=0,0,CHOOSE(MIN(C71,4),0.45,0.65,0.85,1))</f>
        <v/>
      </c>
      <c r="E71">
        <f>pf_mld*D71*365000</f>
        <v/>
      </c>
      <c r="F71">
        <f>IF(C71=0,0,(power_rs_kl*E71+fixed_cr_yr*1E7*(pf_mld/500)+insurance*capex_cr*(1+overrun)*1E7)*(1+cpi)^A71)</f>
        <v/>
      </c>
      <c r="G71">
        <f>E71*(1+cpi)^A71</f>
        <v/>
      </c>
    </row>
    <row r="72">
      <c r="A72" t="n">
        <v>59</v>
      </c>
      <c r="B72">
        <f>IF(A72&lt;build_yrs,capex_cr*(1+overrun)*1E7/build_yrs*(1+cpi)^(A72+0.5),0)</f>
        <v/>
      </c>
      <c r="C72">
        <f>IF(AND(A72&gt;=build_yrs,A72&lt;build_yrs+pf_life_yrs),A72-build_yrs+1,0)</f>
        <v/>
      </c>
      <c r="D72">
        <f>IF(C72=0,0,CHOOSE(MIN(C72,4),0.45,0.65,0.85,1))</f>
        <v/>
      </c>
      <c r="E72">
        <f>pf_mld*D72*365000</f>
        <v/>
      </c>
      <c r="F72">
        <f>IF(C72=0,0,(power_rs_kl*E72+fixed_cr_yr*1E7*(pf_mld/500)+insurance*capex_cr*(1+overrun)*1E7)*(1+cpi)^A72)</f>
        <v/>
      </c>
      <c r="G72">
        <f>E72*(1+cpi)^A72</f>
        <v/>
      </c>
    </row>
    <row r="73">
      <c r="A73" t="n">
        <v>60</v>
      </c>
      <c r="B73">
        <f>IF(A73&lt;build_yrs,capex_cr*(1+overrun)*1E7/build_yrs*(1+cpi)^(A73+0.5),0)</f>
        <v/>
      </c>
      <c r="C73">
        <f>IF(AND(A73&gt;=build_yrs,A73&lt;build_yrs+pf_life_yrs),A73-build_yrs+1,0)</f>
        <v/>
      </c>
      <c r="D73">
        <f>IF(C73=0,0,CHOOSE(MIN(C73,4),0.45,0.65,0.85,1))</f>
        <v/>
      </c>
      <c r="E73">
        <f>pf_mld*D73*365000</f>
        <v/>
      </c>
      <c r="F73">
        <f>IF(C73=0,0,(power_rs_kl*E73+fixed_cr_yr*1E7*(pf_mld/500)+insurance*capex_cr*(1+overrun)*1E7)*(1+cpi)^A73)</f>
        <v/>
      </c>
      <c r="G73">
        <f>E73*(1+cpi)^A73</f>
        <v/>
      </c>
    </row>
    <row r="74">
      <c r="A74" t="n">
        <v>61</v>
      </c>
      <c r="B74">
        <f>IF(A74&lt;build_yrs,capex_cr*(1+overrun)*1E7/build_yrs*(1+cpi)^(A74+0.5),0)</f>
        <v/>
      </c>
      <c r="C74">
        <f>IF(AND(A74&gt;=build_yrs,A74&lt;build_yrs+pf_life_yrs),A74-build_yrs+1,0)</f>
        <v/>
      </c>
      <c r="D74">
        <f>IF(C74=0,0,CHOOSE(MIN(C74,4),0.45,0.65,0.85,1))</f>
        <v/>
      </c>
      <c r="E74">
        <f>pf_mld*D74*365000</f>
        <v/>
      </c>
      <c r="F74">
        <f>IF(C74=0,0,(power_rs_kl*E74+fixed_cr_yr*1E7*(pf_mld/500)+insurance*capex_cr*(1+overrun)*1E7)*(1+cpi)^A74)</f>
        <v/>
      </c>
      <c r="G74">
        <f>E74*(1+cpi)^A74</f>
        <v/>
      </c>
    </row>
    <row r="75">
      <c r="A75" t="n">
        <v>62</v>
      </c>
      <c r="B75">
        <f>IF(A75&lt;build_yrs,capex_cr*(1+overrun)*1E7/build_yrs*(1+cpi)^(A75+0.5),0)</f>
        <v/>
      </c>
      <c r="C75">
        <f>IF(AND(A75&gt;=build_yrs,A75&lt;build_yrs+pf_life_yrs),A75-build_yrs+1,0)</f>
        <v/>
      </c>
      <c r="D75">
        <f>IF(C75=0,0,CHOOSE(MIN(C75,4),0.45,0.65,0.85,1))</f>
        <v/>
      </c>
      <c r="E75">
        <f>pf_mld*D75*365000</f>
        <v/>
      </c>
      <c r="F75">
        <f>IF(C75=0,0,(power_rs_kl*E75+fixed_cr_yr*1E7*(pf_mld/500)+insurance*capex_cr*(1+overrun)*1E7)*(1+cpi)^A75)</f>
        <v/>
      </c>
      <c r="G75">
        <f>E75*(1+cpi)^A75</f>
        <v/>
      </c>
    </row>
    <row r="76">
      <c r="A76" t="n">
        <v>63</v>
      </c>
      <c r="B76">
        <f>IF(A76&lt;build_yrs,capex_cr*(1+overrun)*1E7/build_yrs*(1+cpi)^(A76+0.5),0)</f>
        <v/>
      </c>
      <c r="C76">
        <f>IF(AND(A76&gt;=build_yrs,A76&lt;build_yrs+pf_life_yrs),A76-build_yrs+1,0)</f>
        <v/>
      </c>
      <c r="D76">
        <f>IF(C76=0,0,CHOOSE(MIN(C76,4),0.45,0.65,0.85,1))</f>
        <v/>
      </c>
      <c r="E76">
        <f>pf_mld*D76*365000</f>
        <v/>
      </c>
      <c r="F76">
        <f>IF(C76=0,0,(power_rs_kl*E76+fixed_cr_yr*1E7*(pf_mld/500)+insurance*capex_cr*(1+overrun)*1E7)*(1+cpi)^A76)</f>
        <v/>
      </c>
      <c r="G76">
        <f>E76*(1+cpi)^A76</f>
        <v/>
      </c>
    </row>
    <row r="77">
      <c r="A77" t="n">
        <v>64</v>
      </c>
      <c r="B77">
        <f>IF(A77&lt;build_yrs,capex_cr*(1+overrun)*1E7/build_yrs*(1+cpi)^(A77+0.5),0)</f>
        <v/>
      </c>
      <c r="C77">
        <f>IF(AND(A77&gt;=build_yrs,A77&lt;build_yrs+pf_life_yrs),A77-build_yrs+1,0)</f>
        <v/>
      </c>
      <c r="D77">
        <f>IF(C77=0,0,CHOOSE(MIN(C77,4),0.45,0.65,0.85,1))</f>
        <v/>
      </c>
      <c r="E77">
        <f>pf_mld*D77*365000</f>
        <v/>
      </c>
      <c r="F77">
        <f>IF(C77=0,0,(power_rs_kl*E77+fixed_cr_yr*1E7*(pf_mld/500)+insurance*capex_cr*(1+overrun)*1E7)*(1+cpi)^A77)</f>
        <v/>
      </c>
      <c r="G77">
        <f>E77*(1+cpi)^A77</f>
        <v/>
      </c>
    </row>
    <row r="78">
      <c r="A78" t="n">
        <v>65</v>
      </c>
      <c r="B78">
        <f>IF(A78&lt;build_yrs,capex_cr*(1+overrun)*1E7/build_yrs*(1+cpi)^(A78+0.5),0)</f>
        <v/>
      </c>
      <c r="C78">
        <f>IF(AND(A78&gt;=build_yrs,A78&lt;build_yrs+pf_life_yrs),A78-build_yrs+1,0)</f>
        <v/>
      </c>
      <c r="D78">
        <f>IF(C78=0,0,CHOOSE(MIN(C78,4),0.45,0.65,0.85,1))</f>
        <v/>
      </c>
      <c r="E78">
        <f>pf_mld*D78*365000</f>
        <v/>
      </c>
      <c r="F78">
        <f>IF(C78=0,0,(power_rs_kl*E78+fixed_cr_yr*1E7*(pf_mld/500)+insurance*capex_cr*(1+overrun)*1E7)*(1+cpi)^A78)</f>
        <v/>
      </c>
      <c r="G78">
        <f>E78*(1+cpi)^A78</f>
        <v/>
      </c>
    </row>
    <row r="79">
      <c r="A79" t="n">
        <v>66</v>
      </c>
      <c r="B79">
        <f>IF(A79&lt;build_yrs,capex_cr*(1+overrun)*1E7/build_yrs*(1+cpi)^(A79+0.5),0)</f>
        <v/>
      </c>
      <c r="C79">
        <f>IF(AND(A79&gt;=build_yrs,A79&lt;build_yrs+pf_life_yrs),A79-build_yrs+1,0)</f>
        <v/>
      </c>
      <c r="D79">
        <f>IF(C79=0,0,CHOOSE(MIN(C79,4),0.45,0.65,0.85,1))</f>
        <v/>
      </c>
      <c r="E79">
        <f>pf_mld*D79*365000</f>
        <v/>
      </c>
      <c r="F79">
        <f>IF(C79=0,0,(power_rs_kl*E79+fixed_cr_yr*1E7*(pf_mld/500)+insurance*capex_cr*(1+overrun)*1E7)*(1+cpi)^A79)</f>
        <v/>
      </c>
      <c r="G79">
        <f>E79*(1+cpi)^A79</f>
        <v/>
      </c>
    </row>
    <row r="80">
      <c r="A80" t="n">
        <v>67</v>
      </c>
      <c r="B80">
        <f>IF(A80&lt;build_yrs,capex_cr*(1+overrun)*1E7/build_yrs*(1+cpi)^(A80+0.5),0)</f>
        <v/>
      </c>
      <c r="C80">
        <f>IF(AND(A80&gt;=build_yrs,A80&lt;build_yrs+pf_life_yrs),A80-build_yrs+1,0)</f>
        <v/>
      </c>
      <c r="D80">
        <f>IF(C80=0,0,CHOOSE(MIN(C80,4),0.45,0.65,0.85,1))</f>
        <v/>
      </c>
      <c r="E80">
        <f>pf_mld*D80*365000</f>
        <v/>
      </c>
      <c r="F80">
        <f>IF(C80=0,0,(power_rs_kl*E80+fixed_cr_yr*1E7*(pf_mld/500)+insurance*capex_cr*(1+overrun)*1E7)*(1+cpi)^A80)</f>
        <v/>
      </c>
      <c r="G80">
        <f>E80*(1+cpi)^A80</f>
        <v/>
      </c>
    </row>
    <row r="81">
      <c r="A81" t="n">
        <v>68</v>
      </c>
      <c r="B81">
        <f>IF(A81&lt;build_yrs,capex_cr*(1+overrun)*1E7/build_yrs*(1+cpi)^(A81+0.5),0)</f>
        <v/>
      </c>
      <c r="C81">
        <f>IF(AND(A81&gt;=build_yrs,A81&lt;build_yrs+pf_life_yrs),A81-build_yrs+1,0)</f>
        <v/>
      </c>
      <c r="D81">
        <f>IF(C81=0,0,CHOOSE(MIN(C81,4),0.45,0.65,0.85,1))</f>
        <v/>
      </c>
      <c r="E81">
        <f>pf_mld*D81*365000</f>
        <v/>
      </c>
      <c r="F81">
        <f>IF(C81=0,0,(power_rs_kl*E81+fixed_cr_yr*1E7*(pf_mld/500)+insurance*capex_cr*(1+overrun)*1E7)*(1+cpi)^A81)</f>
        <v/>
      </c>
      <c r="G81">
        <f>E81*(1+cpi)^A81</f>
        <v/>
      </c>
    </row>
    <row r="82">
      <c r="A82" t="n">
        <v>69</v>
      </c>
      <c r="B82">
        <f>IF(A82&lt;build_yrs,capex_cr*(1+overrun)*1E7/build_yrs*(1+cpi)^(A82+0.5),0)</f>
        <v/>
      </c>
      <c r="C82">
        <f>IF(AND(A82&gt;=build_yrs,A82&lt;build_yrs+pf_life_yrs),A82-build_yrs+1,0)</f>
        <v/>
      </c>
      <c r="D82">
        <f>IF(C82=0,0,CHOOSE(MIN(C82,4),0.45,0.65,0.85,1))</f>
        <v/>
      </c>
      <c r="E82">
        <f>pf_mld*D82*365000</f>
        <v/>
      </c>
      <c r="F82">
        <f>IF(C82=0,0,(power_rs_kl*E82+fixed_cr_yr*1E7*(pf_mld/500)+insurance*capex_cr*(1+overrun)*1E7)*(1+cpi)^A82)</f>
        <v/>
      </c>
      <c r="G82">
        <f>E82*(1+cpi)^A82</f>
        <v/>
      </c>
    </row>
    <row r="83">
      <c r="A83" t="n">
        <v>70</v>
      </c>
      <c r="B83">
        <f>IF(A83&lt;build_yrs,capex_cr*(1+overrun)*1E7/build_yrs*(1+cpi)^(A83+0.5),0)</f>
        <v/>
      </c>
      <c r="C83">
        <f>IF(AND(A83&gt;=build_yrs,A83&lt;build_yrs+pf_life_yrs),A83-build_yrs+1,0)</f>
        <v/>
      </c>
      <c r="D83">
        <f>IF(C83=0,0,CHOOSE(MIN(C83,4),0.45,0.65,0.85,1))</f>
        <v/>
      </c>
      <c r="E83">
        <f>pf_mld*D83*365000</f>
        <v/>
      </c>
      <c r="F83">
        <f>IF(C83=0,0,(power_rs_kl*E83+fixed_cr_yr*1E7*(pf_mld/500)+insurance*capex_cr*(1+overrun)*1E7)*(1+cpi)^A83)</f>
        <v/>
      </c>
      <c r="G83">
        <f>E83*(1+cpi)^A83</f>
        <v/>
      </c>
    </row>
    <row r="84">
      <c r="A84" t="n">
        <v>71</v>
      </c>
      <c r="B84">
        <f>IF(A84&lt;build_yrs,capex_cr*(1+overrun)*1E7/build_yrs*(1+cpi)^(A84+0.5),0)</f>
        <v/>
      </c>
      <c r="C84">
        <f>IF(AND(A84&gt;=build_yrs,A84&lt;build_yrs+pf_life_yrs),A84-build_yrs+1,0)</f>
        <v/>
      </c>
      <c r="D84">
        <f>IF(C84=0,0,CHOOSE(MIN(C84,4),0.45,0.65,0.85,1))</f>
        <v/>
      </c>
      <c r="E84">
        <f>pf_mld*D84*365000</f>
        <v/>
      </c>
      <c r="F84">
        <f>IF(C84=0,0,(power_rs_kl*E84+fixed_cr_yr*1E7*(pf_mld/500)+insurance*capex_cr*(1+overrun)*1E7)*(1+cpi)^A84)</f>
        <v/>
      </c>
      <c r="G84">
        <f>E84*(1+cpi)^A84</f>
        <v/>
      </c>
    </row>
    <row r="85">
      <c r="A85" t="n">
        <v>72</v>
      </c>
      <c r="B85">
        <f>IF(A85&lt;build_yrs,capex_cr*(1+overrun)*1E7/build_yrs*(1+cpi)^(A85+0.5),0)</f>
        <v/>
      </c>
      <c r="C85">
        <f>IF(AND(A85&gt;=build_yrs,A85&lt;build_yrs+pf_life_yrs),A85-build_yrs+1,0)</f>
        <v/>
      </c>
      <c r="D85">
        <f>IF(C85=0,0,CHOOSE(MIN(C85,4),0.45,0.65,0.85,1))</f>
        <v/>
      </c>
      <c r="E85">
        <f>pf_mld*D85*365000</f>
        <v/>
      </c>
      <c r="F85">
        <f>IF(C85=0,0,(power_rs_kl*E85+fixed_cr_yr*1E7*(pf_mld/500)+insurance*capex_cr*(1+overrun)*1E7)*(1+cpi)^A85)</f>
        <v/>
      </c>
      <c r="G85">
        <f>E85*(1+cpi)^A85</f>
        <v/>
      </c>
    </row>
    <row r="86">
      <c r="A86" t="n">
        <v>73</v>
      </c>
      <c r="B86">
        <f>IF(A86&lt;build_yrs,capex_cr*(1+overrun)*1E7/build_yrs*(1+cpi)^(A86+0.5),0)</f>
        <v/>
      </c>
      <c r="C86">
        <f>IF(AND(A86&gt;=build_yrs,A86&lt;build_yrs+pf_life_yrs),A86-build_yrs+1,0)</f>
        <v/>
      </c>
      <c r="D86">
        <f>IF(C86=0,0,CHOOSE(MIN(C86,4),0.45,0.65,0.85,1))</f>
        <v/>
      </c>
      <c r="E86">
        <f>pf_mld*D86*365000</f>
        <v/>
      </c>
      <c r="F86">
        <f>IF(C86=0,0,(power_rs_kl*E86+fixed_cr_yr*1E7*(pf_mld/500)+insurance*capex_cr*(1+overrun)*1E7)*(1+cpi)^A86)</f>
        <v/>
      </c>
      <c r="G86">
        <f>E86*(1+cpi)^A86</f>
        <v/>
      </c>
    </row>
    <row r="87">
      <c r="A87" t="n">
        <v>74</v>
      </c>
      <c r="B87">
        <f>IF(A87&lt;build_yrs,capex_cr*(1+overrun)*1E7/build_yrs*(1+cpi)^(A87+0.5),0)</f>
        <v/>
      </c>
      <c r="C87">
        <f>IF(AND(A87&gt;=build_yrs,A87&lt;build_yrs+pf_life_yrs),A87-build_yrs+1,0)</f>
        <v/>
      </c>
      <c r="D87">
        <f>IF(C87=0,0,CHOOSE(MIN(C87,4),0.45,0.65,0.85,1))</f>
        <v/>
      </c>
      <c r="E87">
        <f>pf_mld*D87*365000</f>
        <v/>
      </c>
      <c r="F87">
        <f>IF(C87=0,0,(power_rs_kl*E87+fixed_cr_yr*1E7*(pf_mld/500)+insurance*capex_cr*(1+overrun)*1E7)*(1+cpi)^A87)</f>
        <v/>
      </c>
      <c r="G87">
        <f>E87*(1+cpi)^A87</f>
        <v/>
      </c>
    </row>
    <row r="88">
      <c r="A88" t="n">
        <v>75</v>
      </c>
      <c r="B88">
        <f>IF(A88&lt;build_yrs,capex_cr*(1+overrun)*1E7/build_yrs*(1+cpi)^(A88+0.5),0)</f>
        <v/>
      </c>
      <c r="C88">
        <f>IF(AND(A88&gt;=build_yrs,A88&lt;build_yrs+pf_life_yrs),A88-build_yrs+1,0)</f>
        <v/>
      </c>
      <c r="D88">
        <f>IF(C88=0,0,CHOOSE(MIN(C88,4),0.45,0.65,0.85,1))</f>
        <v/>
      </c>
      <c r="E88">
        <f>pf_mld*D88*365000</f>
        <v/>
      </c>
      <c r="F88">
        <f>IF(C88=0,0,(power_rs_kl*E88+fixed_cr_yr*1E7*(pf_mld/500)+insurance*capex_cr*(1+overrun)*1E7)*(1+cpi)^A88)</f>
        <v/>
      </c>
      <c r="G88">
        <f>E88*(1+cpi)^A88</f>
        <v/>
      </c>
    </row>
    <row r="89">
      <c r="A89" t="n">
        <v>76</v>
      </c>
      <c r="B89">
        <f>IF(A89&lt;build_yrs,capex_cr*(1+overrun)*1E7/build_yrs*(1+cpi)^(A89+0.5),0)</f>
        <v/>
      </c>
      <c r="C89">
        <f>IF(AND(A89&gt;=build_yrs,A89&lt;build_yrs+pf_life_yrs),A89-build_yrs+1,0)</f>
        <v/>
      </c>
      <c r="D89">
        <f>IF(C89=0,0,CHOOSE(MIN(C89,4),0.45,0.65,0.85,1))</f>
        <v/>
      </c>
      <c r="E89">
        <f>pf_mld*D89*365000</f>
        <v/>
      </c>
      <c r="F89">
        <f>IF(C89=0,0,(power_rs_kl*E89+fixed_cr_yr*1E7*(pf_mld/500)+insurance*capex_cr*(1+overrun)*1E7)*(1+cpi)^A89)</f>
        <v/>
      </c>
      <c r="G89">
        <f>E89*(1+cpi)^A89</f>
        <v/>
      </c>
    </row>
    <row r="90">
      <c r="A90" t="n">
        <v>77</v>
      </c>
      <c r="B90">
        <f>IF(A90&lt;build_yrs,capex_cr*(1+overrun)*1E7/build_yrs*(1+cpi)^(A90+0.5),0)</f>
        <v/>
      </c>
      <c r="C90">
        <f>IF(AND(A90&gt;=build_yrs,A90&lt;build_yrs+pf_life_yrs),A90-build_yrs+1,0)</f>
        <v/>
      </c>
      <c r="D90">
        <f>IF(C90=0,0,CHOOSE(MIN(C90,4),0.45,0.65,0.85,1))</f>
        <v/>
      </c>
      <c r="E90">
        <f>pf_mld*D90*365000</f>
        <v/>
      </c>
      <c r="F90">
        <f>IF(C90=0,0,(power_rs_kl*E90+fixed_cr_yr*1E7*(pf_mld/500)+insurance*capex_cr*(1+overrun)*1E7)*(1+cpi)^A90)</f>
        <v/>
      </c>
      <c r="G90">
        <f>E90*(1+cpi)^A90</f>
        <v/>
      </c>
    </row>
    <row r="91">
      <c r="A91" t="n">
        <v>78</v>
      </c>
      <c r="B91">
        <f>IF(A91&lt;build_yrs,capex_cr*(1+overrun)*1E7/build_yrs*(1+cpi)^(A91+0.5),0)</f>
        <v/>
      </c>
      <c r="C91">
        <f>IF(AND(A91&gt;=build_yrs,A91&lt;build_yrs+pf_life_yrs),A91-build_yrs+1,0)</f>
        <v/>
      </c>
      <c r="D91">
        <f>IF(C91=0,0,CHOOSE(MIN(C91,4),0.45,0.65,0.85,1))</f>
        <v/>
      </c>
      <c r="E91">
        <f>pf_mld*D91*365000</f>
        <v/>
      </c>
      <c r="F91">
        <f>IF(C91=0,0,(power_rs_kl*E91+fixed_cr_yr*1E7*(pf_mld/500)+insurance*capex_cr*(1+overrun)*1E7)*(1+cpi)^A91)</f>
        <v/>
      </c>
      <c r="G91">
        <f>E91*(1+cpi)^A91</f>
        <v/>
      </c>
    </row>
    <row r="92">
      <c r="A92" t="n">
        <v>79</v>
      </c>
      <c r="B92">
        <f>IF(A92&lt;build_yrs,capex_cr*(1+overrun)*1E7/build_yrs*(1+cpi)^(A92+0.5),0)</f>
        <v/>
      </c>
      <c r="C92">
        <f>IF(AND(A92&gt;=build_yrs,A92&lt;build_yrs+pf_life_yrs),A92-build_yrs+1,0)</f>
        <v/>
      </c>
      <c r="D92">
        <f>IF(C92=0,0,CHOOSE(MIN(C92,4),0.45,0.65,0.85,1))</f>
        <v/>
      </c>
      <c r="E92">
        <f>pf_mld*D92*365000</f>
        <v/>
      </c>
      <c r="F92">
        <f>IF(C92=0,0,(power_rs_kl*E92+fixed_cr_yr*1E7*(pf_mld/500)+insurance*capex_cr*(1+overrun)*1E7)*(1+cpi)^A92)</f>
        <v/>
      </c>
      <c r="G92">
        <f>E92*(1+cpi)^A92</f>
        <v/>
      </c>
    </row>
    <row r="93">
      <c r="A93" t="n">
        <v>80</v>
      </c>
      <c r="B93">
        <f>IF(A93&lt;build_yrs,capex_cr*(1+overrun)*1E7/build_yrs*(1+cpi)^(A93+0.5),0)</f>
        <v/>
      </c>
      <c r="C93">
        <f>IF(AND(A93&gt;=build_yrs,A93&lt;build_yrs+pf_life_yrs),A93-build_yrs+1,0)</f>
        <v/>
      </c>
      <c r="D93">
        <f>IF(C93=0,0,CHOOSE(MIN(C93,4),0.45,0.65,0.85,1))</f>
        <v/>
      </c>
      <c r="E93">
        <f>pf_mld*D93*365000</f>
        <v/>
      </c>
      <c r="F93">
        <f>IF(C93=0,0,(power_rs_kl*E93+fixed_cr_yr*1E7*(pf_mld/500)+insurance*capex_cr*(1+overrun)*1E7)*(1+cpi)^A93)</f>
        <v/>
      </c>
      <c r="G93">
        <f>E93*(1+cpi)^A93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2" customWidth="1" min="1" max="1"/>
    <col width="70" customWidth="1" min="2" max="2"/>
    <col width="14" customWidth="1" min="3" max="3"/>
    <col width="14" customWidth="1" min="4" max="4"/>
  </cols>
  <sheetData>
    <row r="1">
      <c r="A1" t="inlineStr">
        <is>
          <t>From the page model at base inputs (3,000 runs; triangular low/chosen/high, independent draws). Static values.</t>
        </is>
      </c>
    </row>
    <row r="3">
      <c r="A3" s="3" t="inlineStr">
        <is>
          <t>Rung</t>
        </is>
      </c>
      <c r="B3" s="3" t="inlineStr">
        <is>
          <t>P10</t>
        </is>
      </c>
      <c r="C3" s="3" t="inlineStr">
        <is>
          <t>P90</t>
        </is>
      </c>
    </row>
    <row r="4">
      <c r="A4" t="inlineStr">
        <is>
          <t>cash</t>
        </is>
      </c>
      <c r="B4" t="n">
        <v>58.1</v>
      </c>
      <c r="C4" t="n">
        <v>67.59999999999999</v>
      </c>
    </row>
    <row r="5">
      <c r="A5" t="inlineStr">
        <is>
          <t>financial</t>
        </is>
      </c>
      <c r="B5" t="n">
        <v>107.9</v>
      </c>
      <c r="C5" t="n">
        <v>128.9</v>
      </c>
    </row>
    <row r="6">
      <c r="A6" t="inlineStr">
        <is>
          <t>economic</t>
        </is>
      </c>
      <c r="B6" t="n">
        <v>115.4</v>
      </c>
      <c r="C6" t="n">
        <v>137.1</v>
      </c>
    </row>
    <row r="7">
      <c r="A7" t="inlineStr">
        <is>
          <t>social</t>
        </is>
      </c>
      <c r="B7" t="n">
        <v>164.3</v>
      </c>
      <c r="C7" t="n">
        <v>228.3</v>
      </c>
    </row>
    <row r="10">
      <c r="A10" s="3" t="inlineStr">
        <is>
          <t>One at a time: financial</t>
        </is>
      </c>
      <c r="B10" s="3" t="inlineStr">
        <is>
          <t>Input</t>
        </is>
      </c>
      <c r="C10" s="3" t="inlineStr">
        <is>
          <t>At low end</t>
        </is>
      </c>
      <c r="D10" s="3" t="inlineStr">
        <is>
          <t>At high end</t>
        </is>
      </c>
    </row>
    <row r="11">
      <c r="A11" t="inlineStr">
        <is>
          <t>wacc_real</t>
        </is>
      </c>
      <c r="B11" t="inlineStr">
        <is>
          <t>Cost of capital (real)</t>
        </is>
      </c>
      <c r="C11" t="n">
        <v>-10.8</v>
      </c>
      <c r="D11" t="n">
        <v>12.3</v>
      </c>
    </row>
    <row r="12">
      <c r="A12" t="inlineStr">
        <is>
          <t>nrw</t>
        </is>
      </c>
      <c r="B12" t="inlineStr">
        <is>
          <t>Non-revenue water</t>
        </is>
      </c>
      <c r="C12" t="n">
        <v>-3.9</v>
      </c>
      <c r="D12" t="n">
        <v>13.5</v>
      </c>
    </row>
    <row r="13">
      <c r="A13" t="inlineStr">
        <is>
          <t>prod_mld</t>
        </is>
      </c>
      <c r="B13" t="inlineStr">
        <is>
          <t>Cauvery water treated and pumped</t>
        </is>
      </c>
      <c r="C13" t="n">
        <v>7.4</v>
      </c>
      <c r="D13" t="n">
        <v>-7.1</v>
      </c>
    </row>
    <row r="14">
      <c r="A14" t="inlineStr">
        <is>
          <t>dist_cr_km</t>
        </is>
      </c>
      <c r="B14" t="inlineStr">
        <is>
          <t>Replacement cost of distribution, incl. reservoirs</t>
        </is>
      </c>
      <c r="C14" t="n">
        <v>-3</v>
      </c>
      <c r="D14" t="n">
        <v>6.1</v>
      </c>
    </row>
    <row r="15">
      <c r="A15" t="inlineStr">
        <is>
          <t>bulk_cr_mld</t>
        </is>
      </c>
      <c r="B15" t="inlineStr">
        <is>
          <t>Replacement cost of bulk supply (Stage V ≈ 5.6-7.1)</t>
        </is>
      </c>
      <c r="C15" t="n">
        <v>-3.3</v>
      </c>
      <c r="D15" t="n">
        <v>4.8</v>
      </c>
    </row>
    <row r="16">
      <c r="A16" t="inlineStr">
        <is>
          <t>life_bulk</t>
        </is>
      </c>
      <c r="B16" t="inlineStr">
        <is>
          <t>Life: bulk and distribution</t>
        </is>
      </c>
      <c r="C16" t="n">
        <v>4.1</v>
      </c>
      <c r="D16" t="n">
        <v>-3.6</v>
      </c>
    </row>
    <row r="17">
      <c r="A17" t="inlineStr">
        <is>
          <t>opex_cr_m</t>
        </is>
      </c>
      <c r="B17" t="inlineStr">
        <is>
          <t>BWSSB operating spend (Aug 2025)</t>
        </is>
      </c>
      <c r="C17" t="n">
        <v>-3.6</v>
      </c>
      <c r="D17" t="n">
        <v>3.9</v>
      </c>
    </row>
    <row r="18">
      <c r="A18" t="inlineStr">
        <is>
          <t>polish_rs_kl</t>
        </is>
      </c>
      <c r="B18" t="inlineStr">
        <is>
          <t>Extra cleaning to river quality, beyond NGT norms</t>
        </is>
      </c>
      <c r="C18" t="n">
        <v>-2.5</v>
      </c>
      <c r="D18" t="n">
        <v>4.1</v>
      </c>
    </row>
    <row r="19">
      <c r="A19" t="inlineStr">
        <is>
          <t>return_factor</t>
        </is>
      </c>
      <c r="B19" t="inlineStr">
        <is>
          <t>Sewage returned per kL of water used</t>
        </is>
      </c>
      <c r="C19" t="n">
        <v>-4</v>
      </c>
      <c r="D19" t="n">
        <v>2</v>
      </c>
    </row>
    <row r="20">
      <c r="A20" t="inlineStr">
        <is>
          <t>sewer_cr_km</t>
        </is>
      </c>
      <c r="B20" t="inlineStr">
        <is>
          <t>Replacement cost of sewers</t>
        </is>
      </c>
      <c r="C20" t="n">
        <v>-1.8</v>
      </c>
      <c r="D20" t="n">
        <v>4.1</v>
      </c>
    </row>
    <row r="21">
      <c r="A21" t="inlineStr">
        <is>
          <t>stp_cr_mld</t>
        </is>
      </c>
      <c r="B21" t="inlineStr">
        <is>
          <t>STP cost to NGT norms (BWSSB 2025 tender: 3.87)</t>
        </is>
      </c>
      <c r="C21" t="n">
        <v>-1.4</v>
      </c>
      <c r="D21" t="n">
        <v>1.9</v>
      </c>
    </row>
    <row r="22">
      <c r="A22" t="inlineStr">
        <is>
          <t>opex_index</t>
        </is>
      </c>
      <c r="B22" t="inlineStr">
        <is>
          <t>Indexing Aug 2025 opex to FY27 rupees</t>
        </is>
      </c>
      <c r="C22" t="n">
        <v>-1.5</v>
      </c>
      <c r="D22" t="n">
        <v>1.5</v>
      </c>
    </row>
    <row r="23">
      <c r="A23" t="inlineStr">
        <is>
          <t>sewage_mld</t>
        </is>
      </c>
      <c r="B23" t="inlineStr">
        <is>
          <t>Sewage generated (piped + borewell water)</t>
        </is>
      </c>
      <c r="C23" t="n">
        <v>2.1</v>
      </c>
      <c r="D23" t="n">
        <v>-0.8</v>
      </c>
    </row>
    <row r="24">
      <c r="A24" t="inlineStr">
        <is>
          <t>misc_cr</t>
        </is>
      </c>
      <c r="B24" t="inlineStr">
        <is>
          <t>Meters, IT, buildings, vehicles</t>
        </is>
      </c>
      <c r="C24" t="n">
        <v>-1</v>
      </c>
      <c r="D24" t="n">
        <v>1.9</v>
      </c>
    </row>
    <row r="25">
      <c r="A25" t="inlineStr">
        <is>
          <t>life_stp</t>
        </is>
      </c>
      <c r="B25" t="inlineStr">
        <is>
          <t>Life: STPs</t>
        </is>
      </c>
      <c r="C25" t="n">
        <v>2.3</v>
      </c>
      <c r="D25" t="n">
        <v>-0.5</v>
      </c>
    </row>
    <row r="27">
      <c r="A27" s="3" t="inlineStr">
        <is>
          <t>One at a time: social</t>
        </is>
      </c>
      <c r="B27" s="3" t="inlineStr">
        <is>
          <t>Input</t>
        </is>
      </c>
      <c r="C27" s="3" t="inlineStr">
        <is>
          <t>At low end</t>
        </is>
      </c>
      <c r="D27" s="3" t="inlineStr">
        <is>
          <t>At high end</t>
        </is>
      </c>
    </row>
    <row r="28">
      <c r="A28" t="inlineStr">
        <is>
          <t>scc_usd</t>
        </is>
      </c>
      <c r="B28" t="inlineStr">
        <is>
          <t>Social cost of carbon (US EPA 2023, 2025-26 emissions, in 2026 dollars)</t>
        </is>
      </c>
      <c r="C28" t="n">
        <v>-62.2</v>
      </c>
      <c r="D28" t="n">
        <v>49.2</v>
      </c>
    </row>
    <row r="29">
      <c r="A29" t="inlineStr">
        <is>
          <t>nrw</t>
        </is>
      </c>
      <c r="B29" t="inlineStr">
        <is>
          <t>Non-revenue water</t>
        </is>
      </c>
      <c r="C29" t="n">
        <v>-7.3</v>
      </c>
      <c r="D29" t="n">
        <v>25.5</v>
      </c>
    </row>
    <row r="30">
      <c r="A30" t="inlineStr">
        <is>
          <t>grid_ef</t>
        </is>
      </c>
      <c r="B30" t="inlineStr">
        <is>
          <t>Grid emission factor (CEA v22, FY26)</t>
        </is>
      </c>
      <c r="C30" t="n">
        <v>-17.8</v>
      </c>
      <c r="D30" t="n">
        <v>5.7</v>
      </c>
    </row>
    <row r="31">
      <c r="A31" t="inlineStr">
        <is>
          <t>wacc_real</t>
        </is>
      </c>
      <c r="B31" t="inlineStr">
        <is>
          <t>Cost of capital (real)</t>
        </is>
      </c>
      <c r="C31" t="n">
        <v>-10.8</v>
      </c>
      <c r="D31" t="n">
        <v>12.3</v>
      </c>
    </row>
    <row r="32">
      <c r="A32" t="inlineStr">
        <is>
          <t>electricity_rs_kwh</t>
        </is>
      </c>
      <c r="B32" t="inlineStr">
        <is>
          <t>All-in electricity price (KERC HT-1: ₹6.25/kWh + ₹340/kVA demand charge)</t>
        </is>
      </c>
      <c r="C32" t="n">
        <v>5.4</v>
      </c>
      <c r="D32" t="n">
        <v>-11.6</v>
      </c>
    </row>
    <row r="33">
      <c r="A33" t="inlineStr">
        <is>
          <t>prod_mld</t>
        </is>
      </c>
      <c r="B33" t="inlineStr">
        <is>
          <t>Cauvery water treated and pumped</t>
        </is>
      </c>
      <c r="C33" t="n">
        <v>7.4</v>
      </c>
      <c r="D33" t="n">
        <v>-7.1</v>
      </c>
    </row>
    <row r="34">
      <c r="A34" t="inlineStr">
        <is>
          <t>dist_cr_km</t>
        </is>
      </c>
      <c r="B34" t="inlineStr">
        <is>
          <t>Replacement cost of distribution, incl. reservoirs</t>
        </is>
      </c>
      <c r="C34" t="n">
        <v>-3</v>
      </c>
      <c r="D34" t="n">
        <v>6.1</v>
      </c>
    </row>
    <row r="35">
      <c r="A35" t="inlineStr">
        <is>
          <t>energy_cr_m</t>
        </is>
      </c>
      <c r="B35" t="inlineStr">
        <is>
          <t>of which electricity</t>
        </is>
      </c>
      <c r="C35" t="n">
        <v>-5.3</v>
      </c>
      <c r="D35" t="n">
        <v>3.5</v>
      </c>
    </row>
    <row r="36">
      <c r="A36" t="inlineStr">
        <is>
          <t>catchment_rs_kl</t>
        </is>
      </c>
      <c r="B36" t="inlineStr">
        <is>
          <t>Keeping the Cauvery catchment working (NYC spends ~₹7/kL on its watershed)</t>
        </is>
      </c>
      <c r="C36" t="n">
        <v>-1.4</v>
      </c>
      <c r="D36" t="n">
        <v>7.1</v>
      </c>
    </row>
    <row r="37">
      <c r="A37" t="inlineStr">
        <is>
          <t>bulk_cr_mld</t>
        </is>
      </c>
      <c r="B37" t="inlineStr">
        <is>
          <t>Replacement cost of bulk supply (Stage V ≈ 5.6-7.1)</t>
        </is>
      </c>
      <c r="C37" t="n">
        <v>-3.3</v>
      </c>
      <c r="D37" t="n">
        <v>4.8</v>
      </c>
    </row>
    <row r="38">
      <c r="A38" t="inlineStr">
        <is>
          <t>return_factor</t>
        </is>
      </c>
      <c r="B38" t="inlineStr">
        <is>
          <t>Sewage returned per kL of water used</t>
        </is>
      </c>
      <c r="C38" t="n">
        <v>-5.3</v>
      </c>
      <c r="D38" t="n">
        <v>2.6</v>
      </c>
    </row>
    <row r="39">
      <c r="A39" t="inlineStr">
        <is>
          <t>life_bulk</t>
        </is>
      </c>
      <c r="B39" t="inlineStr">
        <is>
          <t>Life: bulk and distribution</t>
        </is>
      </c>
      <c r="C39" t="n">
        <v>4.1</v>
      </c>
      <c r="D39" t="n">
        <v>-3.6</v>
      </c>
    </row>
    <row r="40">
      <c r="A40" t="inlineStr">
        <is>
          <t>opex_cr_m</t>
        </is>
      </c>
      <c r="B40" t="inlineStr">
        <is>
          <t>BWSSB operating spend (Aug 2025)</t>
        </is>
      </c>
      <c r="C40" t="n">
        <v>-3.6</v>
      </c>
      <c r="D40" t="n">
        <v>3.9</v>
      </c>
    </row>
    <row r="41">
      <c r="A41" t="inlineStr">
        <is>
          <t>residual_rs_kl</t>
        </is>
      </c>
      <c r="B41" t="inlineStr">
        <is>
          <t>Residual harm after treatment: N₂O, STP methane, nutrients left at NGT limits, sludge</t>
        </is>
      </c>
      <c r="C41" t="n">
        <v>-4</v>
      </c>
      <c r="D41" t="n">
        <v>3.2</v>
      </c>
    </row>
    <row r="42">
      <c r="A42" t="inlineStr">
        <is>
          <t>polish_rs_kl</t>
        </is>
      </c>
      <c r="B42" t="inlineStr">
        <is>
          <t>Extra cleaning to river quality, beyond NGT norms</t>
        </is>
      </c>
      <c r="C42" t="n">
        <v>-2.5</v>
      </c>
      <c r="D42" t="n">
        <v>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36" customWidth="1" min="3" max="3"/>
    <col width="10" customWidth="1" min="4" max="4"/>
    <col width="9" customWidth="1" min="5" max="5"/>
    <col width="9" customWidth="1" min="6" max="6"/>
    <col width="14" customWidth="1" min="7" max="7"/>
    <col width="10" customWidth="1" min="8" max="8"/>
    <col width="60" customWidth="1" min="9" max="9"/>
    <col width="40" customWidth="1" min="10" max="10"/>
    <col width="60" customWidth="1" min="11" max="11"/>
    <col width="60" customWidth="1" min="12" max="12"/>
    <col width="60" customWidth="1" min="13" max="13"/>
    <col width="60" customWidth="1" min="14" max="14"/>
  </cols>
  <sheetData>
    <row r="1">
      <c r="A1" s="3" t="inlineStr">
        <is>
          <t>Key</t>
        </is>
      </c>
      <c r="B1" s="3" t="inlineStr">
        <is>
          <t>Group</t>
        </is>
      </c>
      <c r="C1" s="3" t="inlineStr">
        <is>
          <t>Assumption</t>
        </is>
      </c>
      <c r="D1" s="3" t="inlineStr">
        <is>
          <t>Value</t>
        </is>
      </c>
      <c r="E1" s="3" t="inlineStr">
        <is>
          <t>Low</t>
        </is>
      </c>
      <c r="F1" s="3" t="inlineStr">
        <is>
          <t>High</t>
        </is>
      </c>
      <c r="G1" s="3" t="inlineStr">
        <is>
          <t>Unit</t>
        </is>
      </c>
      <c r="H1" s="3" t="inlineStr">
        <is>
          <t>Type</t>
        </is>
      </c>
      <c r="I1" s="3" t="inlineStr">
        <is>
          <t>Why this value</t>
        </is>
      </c>
      <c r="J1" s="3" t="inlineStr">
        <is>
          <t>Note</t>
        </is>
      </c>
      <c r="K1" s="3" t="inlineStr">
        <is>
          <t>Source 1</t>
        </is>
      </c>
      <c r="L1" s="3" t="inlineStr">
        <is>
          <t>Source 2</t>
        </is>
      </c>
      <c r="M1" s="3" t="inlineStr">
        <is>
          <t>Source 3</t>
        </is>
      </c>
      <c r="N1" s="3" t="inlineStr">
        <is>
          <t>Source 4</t>
        </is>
      </c>
    </row>
    <row r="2">
      <c r="A2" s="11" t="inlineStr">
        <is>
          <t>prod_mld</t>
        </is>
      </c>
      <c r="B2" s="11" t="inlineStr">
        <is>
          <t>Volumes</t>
        </is>
      </c>
      <c r="C2" s="11" t="inlineStr">
        <is>
          <t>Cauvery water treated and pumped</t>
        </is>
      </c>
      <c r="D2" s="11" t="n">
        <v>1900</v>
      </c>
      <c r="E2" s="11" t="n">
        <v>1650</v>
      </c>
      <c r="F2" s="11" t="n">
        <v>2225</v>
      </c>
      <c r="G2" s="11" t="inlineStr">
        <is>
          <t>MLD</t>
        </is>
      </c>
      <c r="H2" s="11" t="inlineStr">
        <is>
          <t>sourced</t>
        </is>
      </c>
      <c r="I2" s="11" t="inlineStr">
        <is>
          <t>BWSSB says it now supplies about 1,850 to 1,940 MLD of Cauvery water. 1,900 sits in the middle of what officials report for 2026; the range runs from WELL Labs' 1,650 MLD average to the full 2,225 MLD design.</t>
        </is>
      </c>
      <c r="J2" s="11" t="inlineStr">
        <is>
          <t>Sources disagree because some quote capacity and some quote drawal. Stage V was drawing only ~350 MLD of its 775 MLD until mid-2026 (The Hindu, 14 May 2026).</t>
        </is>
      </c>
      <c r="K2" s="11" t="inlineStr">
        <is>
          <t>Tippagondanahalli reservoir holds 2.2 tmcft of unused water (New Indian Express, 2026): BWSSB supplies 1,940 MLD of Cauvery water a day https://www.newindianexpress.com/states/karnataka/2026/Aug/09/tippagondanahalli-reservoir-holds-22-tmcft-of-unused-water-amid-bengalurus-needs</t>
        </is>
      </c>
      <c r="L2" s="11" t="inlineStr">
        <is>
          <t>Rs 230 crore spent on Thippagondanahalli to go waste (New Indian Express, 2026): BWSSB now supplies 1,850 MLD under Cauvery https://www.newindianexpress.com/cities/bengaluru/2026/Apr/22/bengaluru-gets-cauvery-water-rs-230-crore-spent-on-thippagondanahalli-to-go-waste</t>
        </is>
      </c>
      <c r="M2" s="11" t="inlineStr">
        <is>
          <t>Why Bengaluru should reuse treated used water (WELL Labs, 2026): Average supply 1,650 MLD out of 2,225 MLD capacity https://welllabs.org/why-bengaluru-should-reuse-treated-used-water</t>
        </is>
      </c>
      <c r="N2" s="11" t="inlineStr">
        <is>
          <t>BWSSB plans solar-powered upgrade for Cauvery Stage 6 (Bangalore Mirror, 2025): BWSSB draws 2,250 MLD across Stages 1-5 https://bangaloremirror.indiatimes.com/bangalore/others/bwssb-plans-solar-powered-upgrade-for-cauvery-stage-6/articleshow/124278554.cms</t>
        </is>
      </c>
    </row>
    <row r="3">
      <c r="A3" s="11" t="inlineStr">
        <is>
          <t>nrw</t>
        </is>
      </c>
      <c r="B3" s="11" t="inlineStr">
        <is>
          <t>Volumes</t>
        </is>
      </c>
      <c r="C3" s="11" t="inlineStr">
        <is>
          <t>Non-revenue water</t>
        </is>
      </c>
      <c r="D3" s="11" t="n">
        <v>0.3</v>
      </c>
      <c r="E3" s="11" t="n">
        <v>0.265</v>
      </c>
      <c r="F3" s="11" t="n">
        <v>0.4</v>
      </c>
      <c r="G3" s="11" t="inlineStr">
        <is>
          <t>share</t>
        </is>
      </c>
      <c r="H3" s="11" t="inlineStr">
        <is>
          <t>sourced</t>
        </is>
      </c>
      <c r="I3" s="11" t="inlineStr">
        <is>
          <t>BWSSB says water it cannot bill fell from about 50% to 26-28%. That figure is self-reported and not audited, so 30% is used with a range up to 40%.</t>
        </is>
      </c>
      <c r="J3" s="11" t="inlineStr">
        <is>
          <t>No independent IWA water-balance audit of the 26.5% figure was found. JICA's 2017 study put losses at 48%.</t>
        </is>
      </c>
      <c r="K3" s="11" t="inlineStr">
        <is>
          <t>Bengaluru cuts unaccounted-for water to 26.5 per cent (Construction World, 2026): UFW 26.5% in 2025, down from ~51% https://www.constructionworld.in/urban-infrastructure/wastewater-and-sewage-treatment/bengaluru-cuts-unaccounted-for-water-to-26.5-per-cent/97583</t>
        </is>
      </c>
      <c r="L3" s="11" t="inlineStr">
        <is>
          <t>India 100 Cities (World Bank, 2025): NRW fell from 50% (2013) to 28% https://documents1.worldbank.org/curated/en/099120225085513740/pdf/P180618-a7ca10c8-fca9-4284-8b87-182c8231a4de.pdf</t>
        </is>
      </c>
      <c r="M3" s="11" t="inlineStr">
        <is>
          <t>Presentation by Chief Engineer, BWSSB (BWSSB (via AMDA), 2024): Non Revenue Water 28% https://amdaindia.org/wp-content/uploads/Presentation-by-Chief-Engineer-Bangalore-Water-Supply-and-Sewerage-Board-WATER-SENSITIVITY-MS-3rd-PPT-Part-II.pdf</t>
        </is>
      </c>
      <c r="N3" s="11" t="inlineStr">
        <is>
          <t>Water supply to core city ramped up (chairman interview) (New Indian Express, 2026): NRW 51% in 2022, about 26% now https://www.newindianexpress.com/cities/bengaluru/2026/May/18/water-supply-to-core-city-ramped-up-pipeline-network-for-suburbs-under-way-bwssb-chairman</t>
        </is>
      </c>
    </row>
    <row r="4">
      <c r="A4" s="11" t="inlineStr">
        <is>
          <t>sewage_mld</t>
        </is>
      </c>
      <c r="B4" s="11" t="inlineStr">
        <is>
          <t>Volumes</t>
        </is>
      </c>
      <c r="C4" s="11" t="inlineStr">
        <is>
          <t>Sewage generated (piped + borewell water)</t>
        </is>
      </c>
      <c r="D4" s="11" t="n">
        <v>2130</v>
      </c>
      <c r="E4" s="11" t="n">
        <v>1480</v>
      </c>
      <c r="F4" s="11" t="n">
        <v>2580</v>
      </c>
      <c r="G4" s="11" t="inlineStr">
        <is>
          <t>MLD</t>
        </is>
      </c>
      <c r="H4" s="11" t="inlineStr">
        <is>
          <t>sourced</t>
        </is>
      </c>
      <c r="I4" s="11" t="inlineStr">
        <is>
          <t>Official sewage figures count only Cauvery water, but borewell water also ends up in sewers. 2,130 MLD is BWSSB's own July 2025 figure; the Economic Survey says 1,480 MLD (Cauvery-derived only) and the minister said 2,580 MLD in September 2026.</t>
        </is>
      </c>
      <c r="J4" s="11" t="inlineStr">
        <is>
          <t>The 1,480 MLD official figure is treated as the floor because it leaves out borewell-derived flows.</t>
        </is>
      </c>
      <c r="K4" s="11" t="inlineStr">
        <is>
          <t>Economic Survey of Karnataka 2025-26 (via WaterToday) (Govt of Karnataka / WaterToday, 2026): Sewage generation 1,480 MLD https://magazine.watertoday.org/news/national/bengaluru-bwssb-stp-upgrade-ngt-norms-2026-bwssb-rehabilitation-20-stps-bengaluru-bengaluru-sewage-treatment-capacity-2026-ngt-norms-water-treatment-bengaluru</t>
        </is>
      </c>
      <c r="L4" s="11" t="inlineStr">
        <is>
          <t>BWSSB proposes 5 new STPs to boost wastewater treatment (Bangalore Mirror, 2025): Sewage generation ~2,130 MLD https://bangaloremirror.indiatimes.com/bangalore/civic/bwssb-proposes-5-new-stps-to-boost-wastewater-treatment/articleshow/122803696.cms</t>
        </is>
      </c>
      <c r="M4" s="11" t="inlineStr">
        <is>
          <t>Wastewater in Bengaluru (PLOS Water) (PLOS Water, 2026): About 1,941 MLD of wastewater https://journals.plos.org/water/article?id=10.1371%2Fjournal.pwat.0000571</t>
        </is>
      </c>
      <c r="N4" s="11" t="inlineStr">
        <is>
          <t>Why Bengaluru should reuse treated used water (WELL Labs, 2026): About 2,250 MLD of wastewater https://welllabs.org/why-bengaluru-should-reuse-treated-used-water</t>
        </is>
      </c>
    </row>
    <row r="5">
      <c r="A5" s="11" t="inlineStr">
        <is>
          <t>treated_mld</t>
        </is>
      </c>
      <c r="B5" s="11" t="inlineStr">
        <is>
          <t>Volumes</t>
        </is>
      </c>
      <c r="C5" s="11" t="inlineStr">
        <is>
          <t>Sewage actually treated today</t>
        </is>
      </c>
      <c r="D5" s="11" t="n">
        <v>1213</v>
      </c>
      <c r="E5" s="11" t="n">
        <v>1213</v>
      </c>
      <c r="F5" s="11" t="n">
        <v>1300</v>
      </c>
      <c r="G5" s="11" t="inlineStr">
        <is>
          <t>MLD</t>
        </is>
      </c>
      <c r="H5" s="11" t="inlineStr">
        <is>
          <t>sourced</t>
        </is>
      </c>
      <c r="I5" s="11" t="inlineStr">
        <is>
          <t>The Economic Survey reports 1,212.7 MLD treated in 34 BWSSB plants. Today's sewerage cost per kL is spread over this volume.</t>
        </is>
      </c>
      <c r="J5" s="11" t="inlineStr"/>
      <c r="K5" s="11" t="inlineStr">
        <is>
          <t>Economic Survey of Karnataka 2025-26 (via WaterToday) (Govt of Karnataka / WaterToday, 2026): 34 STPs, 1,348.5 MLD installed, 1,212.7 MLD treated https://magazine.watertoday.org/news/national/bengaluru-bwssb-stp-upgrade-ngt-norms-2026-bwssb-rehabilitation-20-stps-bengaluru-bengaluru-sewage-treatment-capacity-2026-ngt-norms-water-treatment-bengaluru</t>
        </is>
      </c>
      <c r="L5" s="11" t="inlineStr">
        <is>
          <t>Economic Survey of Karnataka 2025-26 (PDF) (Govt of Karnataka, 2026): Same table: 1,212.7 MLD treated https://data.opencity.in/dataset/699b7b8d-3813-4e44-8d70-cfdf1414ee85/resource/ee584e22-2c78-4a54-9054-74db776a9a53/download/economic_survey_2025-26_english_finalmpdf_1772796504.pdf</t>
        </is>
      </c>
      <c r="M5" s="11" t="inlineStr">
        <is>
          <t>Wastewater in Bengaluru (PLOS Water) (PLOS Water, 2026): Centralised plants treat ~1,239 MLD; decentralised plants ~250 MLD more https://journals.plos.org/water/article?id=10.1371%2Fjournal.pwat.0000571</t>
        </is>
      </c>
    </row>
    <row r="6">
      <c r="A6" s="11" t="inlineStr">
        <is>
          <t>return_factor</t>
        </is>
      </c>
      <c r="B6" s="11" t="inlineStr">
        <is>
          <t>Volumes</t>
        </is>
      </c>
      <c r="C6" s="11" t="inlineStr">
        <is>
          <t>Sewage returned per kL of water used</t>
        </is>
      </c>
      <c r="D6" s="11" t="n">
        <v>0.8</v>
      </c>
      <c r="E6" s="11" t="n">
        <v>0.7</v>
      </c>
      <c r="F6" s="11" t="n">
        <v>0.85</v>
      </c>
      <c r="G6" s="11" t="inlineStr">
        <is>
          <t>kL/kL</t>
        </is>
      </c>
      <c r="H6" s="11" t="inlineStr">
        <is>
          <t>assumed</t>
        </is>
      </c>
      <c r="I6" s="11" t="inlineStr">
        <is>
          <t>India's sewerage design manual assumes 80% of water supplied comes back as sewage. The model uses this to charge each billed kL for 0.8 kL of sewage.</t>
        </is>
      </c>
      <c r="J6" s="11" t="inlineStr">
        <is>
          <t>The WELL Labs ratio is our arithmetic on their figures (2,250 / ~2,750 MLD total use ≈ 0.82). Garden watering and evaporation can push the real ratio lower.</t>
        </is>
      </c>
      <c r="K6" s="11" t="inlineStr">
        <is>
          <t>Manual on Sewerage and Sewage Treatment (CPHEEO, MoHUA, 2013): Design norm: about 80% of water supplied reaches the sewers https://phedharyana.gov.in/WriteReadData/WSSO/Manuals/manual_on_sewerage_and_sewage_treatment_%20edition_CPHEEO_2012.pdf</t>
        </is>
      </c>
      <c r="L6" s="11" t="inlineStr">
        <is>
          <t>Why Bengaluru should reuse treated used water (WELL Labs, 2026): ~2,250 MLD wastewater from ~1,650 MLD Cauvery plus ~40% groundwater share, a return of roughly 0.8 https://welllabs.org/why-bengaluru-should-reuse-treated-used-water</t>
        </is>
      </c>
    </row>
    <row r="7">
      <c r="A7" s="11" t="inlineStr">
        <is>
          <t>nrw_phys_share</t>
        </is>
      </c>
      <c r="B7" s="11" t="inlineStr">
        <is>
          <t>Volumes</t>
        </is>
      </c>
      <c r="C7" s="11" t="inlineStr">
        <is>
          <t>Share of non-revenue water that is physical leakage</t>
        </is>
      </c>
      <c r="D7" s="11" t="n">
        <v>0.5</v>
      </c>
      <c r="E7" s="11" t="n">
        <v>0.5</v>
      </c>
      <c r="F7" s="11" t="n">
        <v>0.5</v>
      </c>
      <c r="G7" s="11" t="inlineStr">
        <is>
          <t>share of NRW</t>
        </is>
      </c>
      <c r="H7" s="11" t="inlineStr">
        <is>
          <t>sourced</t>
        </is>
      </c>
      <c r="I7" s="11" t="inlineStr">
        <is>
          <t>Not all lost water leaks out of pipes: some is used but not billed (free public taps, theft, under-reading meters). BWSSB's last split (2016) was about half and half, which is also the usual pattern elsewhere.</t>
        </is>
      </c>
      <c r="J7" s="11" t="inlineStr">
        <is>
          <t>The 2016 split (25 of 49 points physical) predates the claimed fall to ~26% NRW; no newer split is published. The 7,477 free public taps count as unbilled use, not leakage. Used only for 'cost per kL delivered'.</t>
        </is>
      </c>
      <c r="K7" s="11" t="inlineStr">
        <is>
          <t>Bengaluru gets 1450 million litres water a day, a quarter simply goes missing (The News Minute, 2016): NRW 49.25% (BWSSB data, 2016), of which about 25% physical loss and about 24% commercial loss https://www.thenewsminute.com/karnataka/bengaluru-gets-1450-million-litres-water-day-quarter-simply-goes-missing-49830</t>
        </is>
      </c>
      <c r="L7" s="11" t="inlineStr">
        <is>
          <t>Bengaluru wastes nearly 50% of water supply from Cauvery (IndiaSpend, 2016): NRW about 49% of Cauvery supply (BWSSB data), second highest among Indian metros https://www.indiaspend.com/bengaluru-wastes-nearly-50-water-supply-from-cauvery-53879</t>
        </is>
      </c>
      <c r="M7" s="11" t="inlineStr">
        <is>
          <t>Water &amp; Sewerage (NUDM data standard) (MoHUA / National Urban Digital Mission, 2022): Physical and commercial losses: 'While every case is different, often both components contribute roughly equally to UFW' (citing World Bank 2022) https://www.nudm.mohua.gov.in/wp-content/uploads/2024/01/2454.pdf</t>
        </is>
      </c>
      <c r="N7" s="11" t="inlineStr">
        <is>
          <t>Presentation by Chief Engineer, BWSSB (BWSSB (via AMDA), 2024): 14,194 km of pipes; 7,477 public taps (free); Non Revenue Water 28% https://amdaindia.org/wp-content/uploads/Presentation-by-Chief-Engineer-Bangalore-Water-Supply-and-Sewerage-Board-WATER-SENSITIVITY-MS-3rd-PPT-Part-II.pdf</t>
        </is>
      </c>
    </row>
    <row r="8">
      <c r="A8" s="11" t="inlineStr">
        <is>
          <t>nrw_efficient</t>
        </is>
      </c>
      <c r="B8" s="11" t="inlineStr">
        <is>
          <t>Volumes</t>
        </is>
      </c>
      <c r="C8" s="11" t="inlineStr">
        <is>
          <t>Efficient NRW a regulator would allow in tariffs</t>
        </is>
      </c>
      <c r="D8" s="11" t="n">
        <v>0.2</v>
      </c>
      <c r="E8" s="11" t="n">
        <v>0.2</v>
      </c>
      <c r="F8" s="11" t="n">
        <v>0.2</v>
      </c>
      <c r="G8" s="11" t="inlineStr">
        <is>
          <t>share</t>
        </is>
      </c>
      <c r="H8" s="11" t="inlineStr">
        <is>
          <t>policy</t>
        </is>
      </c>
      <c r="I8" s="11" t="inlineStr">
        <is>
          <t>Customers should not pay for losses a well-run utility would avoid. India's own benchmark, and AMRUT 2.0's target, is 20% non-revenue water; BWSSB's Vision 2050 aims for 25% by 2035 and 15% by 2050.</t>
        </is>
      </c>
      <c r="J8" s="11" t="inlineStr">
        <is>
          <t>A design choice, not a measurement. 20% is the MoHUA benchmark; 15% is BWSSB's 2050 target (and the CPHEEO figure cited by CAG); 25% is close to the international average quoted in the SLB databook.</t>
        </is>
      </c>
      <c r="K8" s="11" t="inlineStr">
        <is>
          <t>Handbook of Service Level Benchmarking (MoUD (World Bank copy), 2009): Extent of non-revenue water benchmark 20%: 'the levels achieved by most well-performing utilities in developed countries' https://documents1.worldbank.org/curated/en/314111468194974612/pdf/Handbook0of0service0level0benchmarking.pdf</t>
        </is>
      </c>
      <c r="L8" s="11" t="inlineStr">
        <is>
          <t>AMRUT 2.0 Operational Guidelines (MoHUA, 2021): Reform 8.3.1: 'The ideal target for non revenue water of any ULB will be 20%' https://amrut.mohua.gov.in/uploads/AMRUT_2.0_Operational_Guidelines.pdf</t>
        </is>
      </c>
      <c r="M8" s="11" t="inlineStr">
        <is>
          <t>BWSSB Vision Document 2050 (BWSSB, 2018): NRW targets 35% / 30% / 25% / 15% by 2020 / 2025 / 2035 / 2050 https://bwssb.karnataka.gov.in/storage/pdf-files/documents/Vision%20Document%202050%20%20new.pdf</t>
        </is>
      </c>
      <c r="N8" s="11" t="inlineStr">
        <is>
          <t>Service Level Benchmarking Databook (MoUD (now MoHUA), 2010): NRW benchmark 20%; pilot-city average 44.1% ('international values are closer to 25 per cent') https://mohua.gov.in/static/uploads/2025/10/627238a27786db8ce624ea6c3db6ae24.pdf</t>
        </is>
      </c>
    </row>
    <row r="9">
      <c r="A9" s="11" t="inlineStr">
        <is>
          <t>opex_cr_m</t>
        </is>
      </c>
      <c r="B9" s="11" t="inlineStr">
        <is>
          <t>What BWSSB spends today</t>
        </is>
      </c>
      <c r="C9" s="11" t="inlineStr">
        <is>
          <t>BWSSB operating spend (Aug 2025)</t>
        </is>
      </c>
      <c r="D9" s="11" t="n">
        <v>239.4</v>
      </c>
      <c r="E9" s="11" t="n">
        <v>225</v>
      </c>
      <c r="F9" s="11" t="n">
        <v>255</v>
      </c>
      <c r="G9" s="11" t="inlineStr">
        <is>
          <t>₹ cr/month</t>
        </is>
      </c>
      <c r="H9" s="11" t="inlineStr">
        <is>
          <t>sourced</t>
        </is>
      </c>
      <c r="I9" s="11" t="inlineStr">
        <is>
          <t>The Deputy CM told the Legislature in August 2025 that BWSSB spends ₹239.40 crore a month to run the system. It is the latest official total, and The Hindu reported it as excluding debt repayment and depreciation.</t>
        </is>
      </c>
      <c r="J9" s="11" t="inlineStr">
        <is>
          <t>Published accounts are not available; these are ministerial and press figures. They exclude debt service and depreciation.</t>
        </is>
      </c>
      <c r="K9" s="11" t="inlineStr">
        <is>
          <t>Despite tariff revision, BWSSB suffers 25% revenue deficit every month (The Hindu, 2025): Opex ₹239.40 cr/month, of which energy ₹124 cr https://www.thehindu.com/news/cities/bangalore/despite-tariff-revision-bwssb-suffers-25-revenue-deficit-every-month/article69978962.ece</t>
        </is>
      </c>
      <c r="L9" s="11" t="inlineStr">
        <is>
          <t>After 11 years, BWSSB announces increase in water tariff (The Hindu, 2025): Spending ₹200 cr/month vs ₹130 cr collected (pre-revision) https://www.thehindu.com/news/cities/bangalore/after-11-years-bwssb-announces-increase-in-water-tariff/article69432081.ece</t>
        </is>
      </c>
      <c r="M9" s="11" t="inlineStr">
        <is>
          <t>Bengaluru water tariff hike from April 1, 2026 (Asianet Newsable, 2026): Monthly spending on water supply around ₹200 cr https://newsable.asianetnews.com/karnataka-news/bwssb-increases-water-tariff-by-3-percent-in-bengaluru-from-april-1-articleshow-bzb9urt</t>
        </is>
      </c>
    </row>
    <row r="10">
      <c r="A10" s="11" t="inlineStr">
        <is>
          <t>energy_cr_m</t>
        </is>
      </c>
      <c r="B10" s="11" t="inlineStr">
        <is>
          <t>What BWSSB spends today</t>
        </is>
      </c>
      <c r="C10" s="11" t="inlineStr">
        <is>
          <t>of which electricity</t>
        </is>
      </c>
      <c r="D10" s="11" t="n">
        <v>124</v>
      </c>
      <c r="E10" s="11" t="n">
        <v>115</v>
      </c>
      <c r="F10" s="11" t="n">
        <v>130</v>
      </c>
      <c r="G10" s="11" t="inlineStr">
        <is>
          <t>₹ cr/month</t>
        </is>
      </c>
      <c r="H10" s="11" t="inlineStr">
        <is>
          <t>sourced</t>
        </is>
      </c>
      <c r="I10" s="11" t="inlineStr">
        <is>
          <t>The same August 2025 statement says ₹124 crore of the monthly spend is electricity. That covers all pumping and treatment.</t>
        </is>
      </c>
      <c r="J10" s="11" t="inlineStr">
        <is>
          <t>₹86 cr is Cauvery pumping only; ₹124 cr likely includes city boosting and sewerage.</t>
        </is>
      </c>
      <c r="K10" s="11" t="inlineStr">
        <is>
          <t>Despite tariff revision, BWSSB suffers 25% revenue deficit every month (The Hindu, 2025): Energy ₹124 cr/month of ₹239.40 cr https://www.thehindu.com/news/cities/bangalore/despite-tariff-revision-bwssb-suffers-25-revenue-deficit-every-month/article69978962.ece</t>
        </is>
      </c>
      <c r="L10" s="11" t="inlineStr">
        <is>
          <t>BWSSB plans solar-powered upgrade for Cauvery Stage 6 (Bangalore Mirror, 2025): ~₹86.07 cr/month electricity for 2,250 MLD Cauvery pumping https://bangaloremirror.indiatimes.com/bangalore/others/bwssb-plans-solar-powered-upgrade-for-cauvery-stage-6/articleshow/124278554.cms</t>
        </is>
      </c>
      <c r="M10" s="11" t="inlineStr">
        <is>
          <t>Water supply to core city ramped up (chairman interview) (New Indian Express, 2026): Energy is 60-70% of expenses https://www.newindianexpress.com/cities/bengaluru/2026/May/18/water-supply-to-core-city-ramped-up-pipeline-network-for-suburbs-under-way-bwssb-chairman</t>
        </is>
      </c>
    </row>
    <row r="11">
      <c r="A11" s="11" t="inlineStr">
        <is>
          <t>electricity_rs_kwh</t>
        </is>
      </c>
      <c r="B11" s="11" t="inlineStr">
        <is>
          <t>What BWSSB spends today</t>
        </is>
      </c>
      <c r="C11" s="11" t="inlineStr">
        <is>
          <t>BWSSB's all-in power price</t>
        </is>
      </c>
      <c r="D11" s="11" t="n">
        <v>7</v>
      </c>
      <c r="E11" s="11" t="n">
        <v>6.5</v>
      </c>
      <c r="F11" s="11" t="n">
        <v>8.4</v>
      </c>
      <c r="G11" s="11" t="inlineStr">
        <is>
          <t>₹/kWh</t>
        </is>
      </c>
      <c r="H11" s="11" t="inlineStr">
        <is>
          <t>derived</t>
        </is>
      </c>
      <c r="I11" s="11" t="inlineStr">
        <is>
          <t>BWSSB pays the KERC water-supply rate: ₹6.25 per kWh plus ₹340 per kVA a month in demand charges. Spread over a high, steady pumping load, that comes to about ₹7 per kWh.</t>
        </is>
      </c>
      <c r="J11" s="11" t="inlineStr">
        <is>
          <t>Derivation: ₹340/kVA ÷ (0.95 pf × 0.75 load factor × 730 h) ≈ ₹0.65/kWh, plus ₹6.25 = ₹6.9. Electricity tax and time-of-day adjustments are left out.</t>
        </is>
      </c>
      <c r="K11" s="11" t="inlineStr">
        <is>
          <t>KERC Tariff Order 2025, Annexure-9 (HT-1 water supply) (KERC / BESCOM, 2025): HT-1: demand ₹340/kVA/month; energy 625 paise/kWh for FY26-FY28 https://bescom.karnataka.gov.in/storage/pdf-files/Customer%20Relations/TariffOrder-2025Annexure-9.pdf</t>
        </is>
      </c>
      <c r="L11" s="11" t="inlineStr">
        <is>
          <t>KERC Tariff Order 2024 (KERC, 2024): Same HT-1 rates: ₹340/kVA and 625 paise/kWh https://kerc.karnataka.gov.in/uploads/81071709109978.pdf</t>
        </is>
      </c>
      <c r="M11" s="11" t="inlineStr">
        <is>
          <t>BESCOM tariff petition FY26-28 (BESCOM, 2024): Proposed ₹385/kVA and ₹5.89/5.70 per kWh (not approved) https://bescom.karnataka.gov.in/storage/pdf-files/RA%20section/1680_TariffRate_Eng-Final.pdf</t>
        </is>
      </c>
    </row>
    <row r="12">
      <c r="A12" s="11" t="inlineStr">
        <is>
          <t>sew_energy_cr_m</t>
        </is>
      </c>
      <c r="B12" s="11" t="inlineStr">
        <is>
          <t>What BWSSB spends today</t>
        </is>
      </c>
      <c r="C12" s="11" t="inlineStr">
        <is>
          <t>Electricity for sewers and STPs</t>
        </is>
      </c>
      <c r="D12" s="11" t="n">
        <v>10.3</v>
      </c>
      <c r="E12" s="11" t="n">
        <v>7.5</v>
      </c>
      <c r="F12" s="11" t="n">
        <v>13</v>
      </c>
      <c r="G12" s="11" t="inlineStr">
        <is>
          <t>₹ cr/month</t>
        </is>
      </c>
      <c r="H12" s="11" t="inlineStr">
        <is>
          <t>assumed</t>
        </is>
      </c>
      <c r="I12" s="11" t="inlineStr">
        <is>
          <t>BWSSB does not split its power bill. Treating about 1,213 MLD at ~0.4 kWh per kL at ₹7 per kWh costs about ₹10.3 crore a month. Most sewers flow by gravity, so pumping adds little.</t>
        </is>
      </c>
      <c r="J12" s="11" t="inlineStr">
        <is>
          <t>Bengaluru's sewers mostly flow by gravity (BWSSB website), so sewage pumping is small.</t>
        </is>
      </c>
      <c r="K12" s="11" t="inlineStr">
        <is>
          <t>Technology options for STPs (GRBMP) (NMCG / IIT consortium, 2010): STP power: ASP ~0.19, SBR ~0.15, MBBR ~0.22 kWh/kL https://nmcg.nic.in/writereaddata/fileupload/16_31_003_EQP_S&amp;R_02.pdf</t>
        </is>
      </c>
      <c r="L12" s="11" t="inlineStr">
        <is>
          <t>De-energizing water in Europe and Central Asia (World Bank, 2025): Activated sludge 0.33-0.60 kWh/m³ (Plappally &amp; Lienhard 2012) https://documents1.worldbank.org/curated/en/099121125174518076/pdf/P180278-aae03e2e-cc19-4dae-a9cf-1660560ecf49.pdf</t>
        </is>
      </c>
      <c r="M12" s="11" t="inlineStr">
        <is>
          <t>KERC Tariff Order 2025, Annexure-9 (KERC / BESCOM, 2025): HT-1 energy charge ₹6.25/kWh https://bescom.karnataka.gov.in/storage/pdf-files/Customer%20Relations/TariffOrder-2025Annexure-9.pdf</t>
        </is>
      </c>
    </row>
    <row r="13">
      <c r="A13" s="11" t="inlineStr">
        <is>
          <t>sew_share_other</t>
        </is>
      </c>
      <c r="B13" s="11" t="inlineStr">
        <is>
          <t>What BWSSB spends today</t>
        </is>
      </c>
      <c r="C13" s="11" t="inlineStr">
        <is>
          <t>Share of non-power opex that is sewerage (assumed)</t>
        </is>
      </c>
      <c r="D13" s="11" t="n">
        <v>0.25</v>
      </c>
      <c r="E13" s="11" t="n">
        <v>0.15</v>
      </c>
      <c r="F13" s="11" t="n">
        <v>0.35</v>
      </c>
      <c r="G13" s="11" t="inlineStr">
        <is>
          <t>share</t>
        </is>
      </c>
      <c r="H13" s="11" t="inlineStr">
        <is>
          <t>assumed</t>
        </is>
      </c>
      <c r="I13" s="11" t="inlineStr">
        <is>
          <t>Staff, repairs, chemicals and contracts are not split between water and sewerage in public data. A quarter is assumed because the sewer network is a little smaller than the water network and STP upkeep is contracted out.</t>
        </is>
      </c>
      <c r="J13" s="11" t="inlineStr">
        <is>
          <t>No BWSSB cost split found. NMCG rates applied to ~1,350 MLD give only ~₹3 cr/month for STP repairs and chemicals; sewer cleaning, staff and O&amp;M contracts make up the rest.</t>
        </is>
      </c>
      <c r="K13" s="11" t="inlineStr">
        <is>
          <t>Presentation by Chief Engineer, BWSSB (BWSSB (via AMDA), 2024): 14,194 km water pipes vs 11,894 km sewers; 9.70 lakh sanitary vs 10.70 lakh water connections https://amdaindia.org/wp-content/uploads/Presentation-by-Chief-Engineer-Bangalore-Water-Supply-and-Sewerage-Board-WATER-SENSITIVITY-MS-3rd-PPT-Part-II.pdf</t>
        </is>
      </c>
      <c r="L13" s="11" t="inlineStr">
        <is>
          <t>Technology options for STPs (GRBMP) (NMCG / IIT consortium, 2010): STP repairs ₹1.8-2.5 lakh/MLD/yr; chemicals ₹0.40 lakh/MLD/yr https://nmcg.nic.in/writereaddata/fileupload/16_31_003_EQP_S&amp;R_02.pdf</t>
        </is>
      </c>
    </row>
    <row r="14">
      <c r="A14" s="11" t="inlineStr">
        <is>
          <t>revenue_cr_m</t>
        </is>
      </c>
      <c r="B14" s="11" t="inlineStr">
        <is>
          <t>What BWSSB spends today</t>
        </is>
      </c>
      <c r="C14" s="11" t="inlineStr">
        <is>
          <t>BWSSB water and sewerage revenue</t>
        </is>
      </c>
      <c r="D14" s="11" t="n">
        <v>182</v>
      </c>
      <c r="E14" s="11" t="n">
        <v>175</v>
      </c>
      <c r="F14" s="11" t="n">
        <v>200</v>
      </c>
      <c r="G14" s="11" t="inlineStr">
        <is>
          <t>₹ cr/month</t>
        </is>
      </c>
      <c r="H14" s="11" t="inlineStr">
        <is>
          <t>sourced</t>
        </is>
      </c>
      <c r="I14" s="11" t="inlineStr">
        <is>
          <t>BWSSB billed about ₹200 crore a month in May 2026, including more than ₹18 crore of penalties (missing rainwater harvesting, occupancy certificates, STPs). Penalties are not a price for water, so ₹182 crore is used.</t>
        </is>
      </c>
      <c r="J14" s="11" t="inlineStr"/>
      <c r="K14" s="11" t="inlineStr">
        <is>
          <t>BWSSB collects over ₹18 crore a month in penalties alone (The Hindu, 2026): Water bill revenue ~₹200 cr/month; penalties &gt;₹18 cr/month https://www.thehindu.com/news/national/karnataka/bwssb-collects-over-18-crore-a-month-in-penalties-alone/article70931548.ece</t>
        </is>
      </c>
      <c r="L14" s="11" t="inlineStr">
        <is>
          <t>Quenching Bengaluru's ever-growing thirst from 100 km away (The Hindu, 2024): ~₹100 cr/month before Stage V; expected ₹140 cr/month after https://www.thehindu.com/news/cities/bangalore/quenching-bengalurus-ever-growing-thirst-from-100-km-away/article68789799.ece</t>
        </is>
      </c>
      <c r="M14" s="11" t="inlineStr">
        <is>
          <t>BWSSB announces water tariff hike from April 10 (India Today, 2025): Expenditure ₹200 cr vs ₹120 cr collections, pre-revision https://www.indiatoday.in/cities/bengaluru/story/bengaluru-water-tariff-hike-from-april-10-bwssb-announces-new-slab-pased-pricing-2706587-2025-04-09</t>
        </is>
      </c>
    </row>
    <row r="15">
      <c r="A15" s="11" t="inlineStr">
        <is>
          <t>opex_index</t>
        </is>
      </c>
      <c r="B15" s="11" t="inlineStr">
        <is>
          <t>What BWSSB spends today</t>
        </is>
      </c>
      <c r="C15" s="11" t="inlineStr">
        <is>
          <t>Indexing Aug 2025 operating spend to FY27 rupees</t>
        </is>
      </c>
      <c r="D15" s="11" t="n">
        <v>1.025</v>
      </c>
      <c r="E15" s="11" t="n">
        <v>1</v>
      </c>
      <c r="F15" s="11" t="n">
        <v>1.05</v>
      </c>
      <c r="G15" s="11" t="inlineStr">
        <is>
          <t>multiplier</t>
        </is>
      </c>
      <c r="H15" s="11" t="inlineStr">
        <is>
          <t>derived</t>
        </is>
      </c>
      <c r="I15" s="11" t="inlineStr">
        <is>
          <t>BWSSB's ₹239.4 cr a month is an August 2025 figure; prices have risen since. Consumer prices were up 5.5% a year in September 2026 and the RBI expects about 5.2% for FY27.</t>
        </is>
      </c>
      <c r="J15" s="11" t="inlineStr">
        <is>
          <t>About 14 months separate Aug 2025 from mid-FY27. But BWSSB's electricity tariff (HT-1, ₹6.25/kWh + ₹340/kVA) is frozen for FY26-FY28, and power is ₹124 of the ₹239.4 cr. Indexing only the non-power ₹115 cr by 5% gives (115.4 × 1.05 + 124) / 239.4 ≈ 1.024.</t>
        </is>
      </c>
      <c r="K15" s="11" t="inlineStr">
        <is>
          <t>Despite tariff revision, BWSSB suffers 25% revenue deficit every month (The Hindu, 2025): Operating spend ₹239.40 cr/month (Aug 2025), of which energy ₹124 cr; deficit 'not accounting for debt repayment and depreciation' https://www.thehindu.com/news/cities/bangalore/despite-tariff-revision-bwssb-suffers-25-revenue-deficit-every-month/article69978962.ece</t>
        </is>
      </c>
      <c r="L15" s="11" t="inlineStr">
        <is>
          <t>India inflation rises as oil and energy prices bite (CNBC, 2026): CPI inflation 5.54% y/y in September 2026, up from 4.83% in August https://www.cnbc.com/2026/10/12/india-inflation-oil-energy-iran-war.html</t>
        </is>
      </c>
      <c r="M15" s="11" t="inlineStr">
        <is>
          <t>RBI MPC: calibrated tightening (Business Standard, 2026): RBI projects FY27 CPI inflation at 5.2% (Q3 6.0%, Q4 5.7%) https://www.business-standard.com/finance/news/india-bond-yield-rbi-mpc-repo-rate-calibrated-tightening-126100700323_1.html</t>
        </is>
      </c>
      <c r="N15" s="11" t="inlineStr">
        <is>
          <t>KERC Tariff Order 2025, Annexure-9 (HT-1 water supply) (KERC / BESCOM, 2025): HT-1 water supply: demand ₹340/kVA/month; energy 625 paise/kWh, unchanged for FY26, FY27 and FY28 https://bescom.karnataka.gov.in/storage/pdf-files/Customer%20Relations/TariffOrder-2025Annexure-9.pdf</t>
        </is>
      </c>
    </row>
    <row r="16">
      <c r="A16" s="11" t="inlineStr">
        <is>
          <t>upgrade_rs_kl</t>
        </is>
      </c>
      <c r="B16" s="11" t="inlineStr">
        <is>
          <t>Getting sewage back clean</t>
        </is>
      </c>
      <c r="C16" s="11" t="inlineStr">
        <is>
          <t>Extra O&amp;M for nutrient removal and polishing</t>
        </is>
      </c>
      <c r="D16" s="11" t="n">
        <v>3</v>
      </c>
      <c r="E16" s="11" t="n">
        <v>2</v>
      </c>
      <c r="F16" s="11" t="n">
        <v>5</v>
      </c>
      <c r="G16" s="11" t="inlineStr">
        <is>
          <t>₹/kL sewage</t>
        </is>
      </c>
      <c r="H16" s="11" t="inlineStr">
        <is>
          <t>derived</t>
        </is>
      </c>
      <c r="I16" s="11" t="inlineStr">
        <is>
          <t>Meeting the 2019 NGT limits on nitrogen and phosphorus needs extra aeration, chemicals and filters. Indian cost data put that at a few rupees per kL; full tertiary treatment for resale costs ₹10-12.</t>
        </is>
      </c>
      <c r="J16" s="11" t="inlineStr">
        <is>
          <t>No CPCB or CPHEEO benchmark for incremental nutrient-removal O&amp;M was found; the value is built up from NMCG unit costs (extra ~0.1-0.2 kWh/kL at ₹7 plus chemicals and filter upkeep).</t>
        </is>
      </c>
      <c r="K16" s="11" t="inlineStr">
        <is>
          <t>Technology options for STPs (GRBMP) (NMCG / IIT consortium, 2010): Secondary STP power 0.15-0.22 kWh/kL; repairs ₹1.8-2.5 lakh/MLD/yr; chemicals ₹0.40 lakh/MLD/yr https://nmcg.nic.in/writereaddata/fileupload/16_31_003_EQP_S&amp;R_02.pdf</t>
        </is>
      </c>
      <c r="L16" s="11" t="inlineStr">
        <is>
          <t>BWSSP Phase 3 Final Report, Table 4.5.8 (JICA / NJS, 2017): V-Valley 60 MLD tertiary plant: treatment cost ₹10-12/kL https://openjicareport.jica.go.jp/pdf/12300364_01.pdf</t>
        </is>
      </c>
      <c r="M16" s="11" t="inlineStr">
        <is>
          <t>DPR to upgrade 20 sewage treatment plants ready (New Indian Express, 2022): ₹1,500 cr to bring 20 STPs to NGT norms (P &lt;1 mg/L, NO₃ &lt;10 mg/L) https://www.newindianexpress.com/cities/bengaluru/2022/Oct/07/dpr-to-upgrade-20-sewage-treatment-plants-ready-2505527.html</t>
        </is>
      </c>
    </row>
    <row r="17">
      <c r="A17" s="11" t="inlineStr">
        <is>
          <t>stp_cr_mld</t>
        </is>
      </c>
      <c r="B17" s="11" t="inlineStr">
        <is>
          <t>Getting sewage back clean</t>
        </is>
      </c>
      <c r="C17" s="11" t="inlineStr">
        <is>
          <t>STP cost to NGT norms (BWSSB 2025 tender: 3.87)</t>
        </is>
      </c>
      <c r="D17" s="11" t="n">
        <v>3.9</v>
      </c>
      <c r="E17" s="11" t="n">
        <v>2.9</v>
      </c>
      <c r="F17" s="11" t="n">
        <v>5.2</v>
      </c>
      <c r="G17" s="11" t="inlineStr">
        <is>
          <t>₹ cr/MLD</t>
        </is>
      </c>
      <c r="H17" s="11" t="inlineStr">
        <is>
          <t>sourced</t>
        </is>
      </c>
      <c r="I17" s="11" t="inlineStr">
        <is>
          <t>BWSSB's November 2025 tender for nine plants to NGT standards works out to ₹3.87 crore per MLD. Its other 2025 packages range from ₹2.9 to ₹5.2 crore per MLD.</t>
        </is>
      </c>
      <c r="J17" s="11" t="inlineStr">
        <is>
          <t>The ₹5.2 cr/MLD package likely includes conveyance. The model applies this rate to all sewage generated, not just today's plant capacity.</t>
        </is>
      </c>
      <c r="K17" s="11" t="inlineStr">
        <is>
          <t>BWSSB to take up nine new STPs with 535 MLD capacity (The Hindu, 2025): ₹2,071.21 cr for 535 MLD → ₹3.87 cr/MLD https://www.thehindu.com/news/national/karnataka/bwssb-to-take-up-nine-new-stps-with-535-mld-capacity-six-to-produce-power-through-biogas/article70244502.ece</t>
        </is>
      </c>
      <c r="L17" s="11" t="inlineStr">
        <is>
          <t>20 new sewage treatment plants planned by year-end (Bangalore Mirror, 2025): 20 STPs, 470 MLD, ₹1,382 cr → ₹2.94 cr/MLD https://bangaloremirror.indiatimes.com/bangalore/civic/20-new-sewage-treatment-plants-planned-by-year-end/articleshow/120973435.cms</t>
        </is>
      </c>
      <c r="M17" s="11" t="inlineStr">
        <is>
          <t>BWSSB proposes 5 new STPs (Bangalore Mirror, 2025): 5 STPs, 385 MLD, ₹2,000 cr → ₹5.2 cr/MLD https://bangaloremirror.indiatimes.com/bangalore/civic/bwssb-proposes-5-new-stps-to-boost-wastewater-treatment/articleshow/122803696.cms</t>
        </is>
      </c>
      <c r="N17" s="11" t="inlineStr">
        <is>
          <t>Rajya Sabha USQ 1529 (Yamuna STPs) (Rajya Sabha, 2024): Okhla 564 MLD ₹665.78 cr → ₹1.18 cr/MLD (secondary standard) https://www.sansad.in/getFile/annex/266/AU1529_CAqKxt.pdf</t>
        </is>
      </c>
    </row>
    <row r="18">
      <c r="A18" s="11" t="inlineStr">
        <is>
          <t>return_on</t>
        </is>
      </c>
      <c r="B18" s="11" t="inlineStr">
        <is>
          <t>Getting sewage back clean</t>
        </is>
      </c>
      <c r="C18" s="11" t="inlineStr">
        <is>
          <t>Send the cleaned water back to the Cauvery</t>
        </is>
      </c>
      <c r="D18" s="11" t="n">
        <v>1</v>
      </c>
      <c r="E18" s="11" t="n">
        <v>1</v>
      </c>
      <c r="F18" s="11" t="n">
        <v>1</v>
      </c>
      <c r="G18" s="11" t="inlineStr">
        <is>
          <t>switch</t>
        </is>
      </c>
      <c r="H18" s="11" t="inlineStr">
        <is>
          <t>policy</t>
        </is>
      </c>
      <c r="I18" s="11" t="inlineStr">
        <is>
          <t>The premise of this page is that a city should give its river back the water it borrows, cleaned. Today the eastern valleys' water goes to Kolar's tanks and the South Pennar instead. Switch this off to see the price without the return pipelines.</t>
        </is>
      </c>
      <c r="J18" s="11" t="inlineStr">
        <is>
          <t>Sending the water west takes it away from Kolar and Chikkaballapur tanks, which now depend on it. That is a choice for the state, not something this model settles.</t>
        </is>
      </c>
      <c r="K18" s="11" t="inlineStr">
        <is>
          <t>Wastewater management in a metropolis: Bengaluru case study (S. Vishwanath, Biome Environmental Trust (CSE), 2022): Three drainage valleys; treated water conveyed to Kolar, Chikkaballapur and V-Valley tanks https://cdn.cseindia.org/attachments/0.64097500_1670989641_wastewater-management-in-a-metropolis-(bengaluru-case-study)-by-s-vishwanath,-biome-environmental-trust.pdf</t>
        </is>
      </c>
      <c r="L18" s="11" t="inlineStr">
        <is>
          <t>How Bengaluru's domestic wastewater is helping parched Kolar (IndiaSpend, 2019): K-C Valley pumps 440 MLD of treated sewage east to Kolar tanks https://www.indiaspend.com/how-bengalurus-domestic-wastewater-is-helping-parched-kolar</t>
        </is>
      </c>
      <c r="M18" s="11" t="inlineStr">
        <is>
          <t>Thenpennai river choking with effluents from Karnataka (New Indian Express, 2025): Sewage from Bengaluru's eastern valleys reaches the South Pennar and Kelavarapalli dam in Tamil Nadu https://www.newindianexpress.com/states/tamil-nadu/2025/Jul/16/thenpennai-river-choking-with-effluents-from-karnataka-tn</t>
        </is>
      </c>
    </row>
    <row r="19">
      <c r="A19" s="11" t="inlineStr">
        <is>
          <t>polish_rs_kl</t>
        </is>
      </c>
      <c r="B19" s="11" t="inlineStr">
        <is>
          <t>Getting sewage back clean</t>
        </is>
      </c>
      <c r="C19" s="11" t="inlineStr">
        <is>
          <t>Extra cleaning to river quality, beyond NGT norms</t>
        </is>
      </c>
      <c r="D19" s="11" t="n">
        <v>7</v>
      </c>
      <c r="E19" s="11" t="n">
        <v>4</v>
      </c>
      <c r="F19" s="11" t="n">
        <v>12</v>
      </c>
      <c r="G19" s="11" t="inlineStr">
        <is>
          <t>₹/kL sewage</t>
        </is>
      </c>
      <c r="H19" s="11" t="inlineStr">
        <is>
          <t>derived</t>
        </is>
      </c>
      <c r="I19" s="11" t="inlineStr">
        <is>
          <t>BWSSB's own tertiary plant in Vrishabhavathi Valley costs ₹10–12 per kL to run. The model already counts ₹3 per kL for nutrient removal, so it adds ₹7 to reach river quality.</t>
        </is>
      </c>
      <c r="J19" s="11" t="inlineStr">
        <is>
          <t>Chennai's reverse-osmosis plants clean to industrial-reuse quality, higher than a river needs, so they mark the top of the range.</t>
        </is>
      </c>
      <c r="K19" s="11" t="inlineStr">
        <is>
          <t>BWSSP Phase 3 Final Report, Table 4.5.8 (JICA / NJS, 2017): V-Valley 60 MLD tertiary plant: cost of treatment ₹10–12/kL; sold at ₹25/kL https://openjicareport.jica.go.jp/pdf/12300364_01.pdf</t>
        </is>
      </c>
      <c r="L19" s="11" t="inlineStr">
        <is>
          <t>Koyambedu tertiary treatment plant commissioned (Indian Infrastructure, 2019): Chennai 45 MLD tertiary RO plant with 60 km main, ₹486 crore https://indianinfrastructure.com/2019/12/17/koyambedu-tertiary-treatment-plant-commissioned/</t>
        </is>
      </c>
    </row>
    <row r="20">
      <c r="A20" s="11" t="inlineStr">
        <is>
          <t>ret_cr_mld</t>
        </is>
      </c>
      <c r="B20" s="11" t="inlineStr">
        <is>
          <t>Getting sewage back clean</t>
        </is>
      </c>
      <c r="C20" s="11" t="inlineStr">
        <is>
          <t>Return pipelines and pumps, per MLD carried</t>
        </is>
      </c>
      <c r="D20" s="11" t="n">
        <v>3.75</v>
      </c>
      <c r="E20" s="11" t="n">
        <v>3.05</v>
      </c>
      <c r="F20" s="11" t="n">
        <v>4.5</v>
      </c>
      <c r="G20" s="11" t="inlineStr">
        <is>
          <t>₹ cr/MLD</t>
        </is>
      </c>
      <c r="H20" s="11" t="inlineStr">
        <is>
          <t>derived</t>
        </is>
      </c>
      <c r="I20" s="11" t="inlineStr">
        <is>
          <t>Bengaluru has already built two schemes that pipe treated sewage out of the city: K-C Valley at ₹3.05 crore and H-N Valley at ₹4.5 crore for each million litres a day. A return line to the Cauvery would be a similar job. The model uses the midpoint.</t>
        </is>
      </c>
      <c r="J20" s="11" t="inlineStr">
        <is>
          <t>Both schemes pump water uphill to Kolar; a line to the Cauvery would pump over the ridge and then run downhill, so this may be on the high side.</t>
        </is>
      </c>
      <c r="K20" s="11" t="inlineStr">
        <is>
          <t>Don't use treated KC Valley water for irrigation: minister (Deccan Herald, 2020): K-C Valley: 440 MLD, ₹1,342 crore phase 1 (₹3.05 crore per MLD) https://www.deccanherald.com/india/karnataka/don-t-use-treated-kc-valley-water-for-irrigation-minister-2845489</t>
        </is>
      </c>
      <c r="L20" s="11" t="inlineStr">
        <is>
          <t>Cabinet okays ₹455 cr for KC Valley project phase 2 (Deccan Herald, 2019): Phase 2 of K-C Valley approved at ₹455 crore https://www.deccanherald.com/india/karnataka/cabinet-okays-rs-455cr-for-kc-valley-project-phase-2-738567.html</t>
        </is>
      </c>
      <c r="M20" s="11" t="inlineStr">
        <is>
          <t>HN Valley project to rejuvenate 65 tanks by November (Deccan Herald, 2021): H-N Valley: 210 MLD to 65 tanks, about ₹947 crore (₹4.5 crore per MLD) https://www.deccanherald.com/india/karnataka/bengaluru/hn-valley-project-to-rejuvenate-65-tanks-by-november-998319.html</t>
        </is>
      </c>
    </row>
    <row r="21">
      <c r="A21" s="11" t="inlineStr">
        <is>
          <t>ret_kwh</t>
        </is>
      </c>
      <c r="B21" s="11" t="inlineStr">
        <is>
          <t>Getting sewage back clean</t>
        </is>
      </c>
      <c r="C21" s="11" t="inlineStr">
        <is>
          <t>Pumping the eastern valleys' water over the ridge</t>
        </is>
      </c>
      <c r="D21" s="11" t="n">
        <v>0.35</v>
      </c>
      <c r="E21" s="11" t="n">
        <v>0.15</v>
      </c>
      <c r="F21" s="11" t="n">
        <v>0.5</v>
      </c>
      <c r="G21" s="11" t="inlineStr">
        <is>
          <t>kWh/kL</t>
        </is>
      </c>
      <c r="H21" s="11" t="inlineStr">
        <is>
          <t>assumed</t>
        </is>
      </c>
      <c r="I21" s="11" t="inlineStr">
        <is>
          <t>Lifting 1 kL by 100 m takes 0.27 kWh at perfect efficiency, or about 0.39 kWh with real pumps. The eastern valleys sit roughly 70–120 m below the ridge that separates them from the Cauvery side; after that, the water flows downhill to the river.</t>
        </is>
      </c>
      <c r="J21" s="11" t="inlineStr">
        <is>
          <t>No route has been designed, so the lift is an estimate. The downhill run could even generate a little power.</t>
        </is>
      </c>
      <c r="K21" s="11" t="inlineStr">
        <is>
          <t>Presentation by Chief Engineer, BWSSB (BWSSB (via AMDA), 2024): Elevation profile from TK Halli (~585 m) to the city (~935 m above sea level) https://amdaindia.org/wp-content/uploads/Presentation-by-Chief-Engineer-Bangalore-Water-Supply-and-Sewerage-Board-WATER-SENSITIVITY-MS-3rd-PPT-Part-II.pdf</t>
        </is>
      </c>
      <c r="L21" s="11" t="inlineStr">
        <is>
          <t>Wastewater management in a metropolis: Bengaluru case study (S. Vishwanath, Biome Environmental Trust (CSE), 2022): Three drainage valleys; treated water conveyed to Kolar, Chikkaballapur and V-Valley tanks https://cdn.cseindia.org/attachments/0.64097500_1670989641_wastewater-management-in-a-metropolis-(bengaluru-case-study)-by-s-vishwanath,-biome-environmental-trust.pdf</t>
        </is>
      </c>
    </row>
    <row r="22">
      <c r="A22" s="11" t="inlineStr">
        <is>
          <t>ret_om_rs_kl</t>
        </is>
      </c>
      <c r="B22" s="11" t="inlineStr">
        <is>
          <t>Getting sewage back clean</t>
        </is>
      </c>
      <c r="C22" s="11" t="inlineStr">
        <is>
          <t>Running the return pipelines, excluding power</t>
        </is>
      </c>
      <c r="D22" s="11" t="n">
        <v>1</v>
      </c>
      <c r="E22" s="11" t="n">
        <v>0.5</v>
      </c>
      <c r="F22" s="11" t="n">
        <v>2</v>
      </c>
      <c r="G22" s="11" t="inlineStr">
        <is>
          <t>₹/kL</t>
        </is>
      </c>
      <c r="H22" s="11" t="inlineStr">
        <is>
          <t>assumed</t>
        </is>
      </c>
      <c r="I22" s="11" t="inlineStr">
        <is>
          <t>Staff, repairs and pumping-station upkeep for a long pipeline. Pipelines cost little to run apart from power; ₹1 per kL is about 1% of the capital cost a year.</t>
        </is>
      </c>
      <c r="J22" s="11" t="inlineStr">
        <is>
          <t>BWSSB has not published what K-C and H-N Valley cost to run, which is why it asked the irrigation department to pay.</t>
        </is>
      </c>
      <c r="K22" s="11" t="inlineStr">
        <is>
          <t>BWSSB seeks STP maintenance charges from Minor Irrigation department (The Hindu, 2022): BWSSB asked the irrigation department to pay for running the plants that feed K-C and H-N Valley https://www.thehindu.com/news/cities/bangalore/bwssb-seeks-stp-maintenance-charges-from-minor-irrigation-department/article65187743.ece</t>
        </is>
      </c>
      <c r="L22" s="11" t="inlineStr">
        <is>
          <t>Don't use treated KC Valley water for irrigation: minister (Deccan Herald, 2020): K-C Valley: 440 MLD, ₹1,342 crore phase 1 (₹3.05 crore per MLD) https://www.deccanherald.com/india/karnataka/don-t-use-treated-kc-valley-water-for-irrigation-minister-2845489</t>
        </is>
      </c>
    </row>
    <row r="23">
      <c r="A23" s="11" t="inlineStr">
        <is>
          <t>decentral_mld</t>
        </is>
      </c>
      <c r="B23" s="11" t="inlineStr">
        <is>
          <t>Getting sewage back clean</t>
        </is>
      </c>
      <c r="C23" s="11" t="inlineStr">
        <is>
          <t>Sewage treated in apartment and campus STPs</t>
        </is>
      </c>
      <c r="D23" s="11" t="n">
        <v>250</v>
      </c>
      <c r="E23" s="11" t="n">
        <v>150</v>
      </c>
      <c r="F23" s="11" t="n">
        <v>371</v>
      </c>
      <c r="G23" s="11" t="inlineStr">
        <is>
          <t>MLD</t>
        </is>
      </c>
      <c r="H23" s="11" t="inlineStr">
        <is>
          <t>sourced</t>
        </is>
      </c>
      <c r="I23" s="11" t="inlineStr">
        <is>
          <t>Large apartments and campuses in Bengaluru must run their own STPs. They treat sewage that never reaches BWSSB plants, so they shrink the untreated gap. Estimates run from about 250 MLD actually treated (PLOS Water) to 371 MLD across ~4,000 plants (WELL Labs).</t>
        </is>
      </c>
      <c r="J23" s="11" t="inlineStr">
        <is>
          <t>How well these plants actually run is contested; many operate below design. The low end allows for that.</t>
        </is>
      </c>
      <c r="K23" s="11" t="inlineStr">
        <is>
          <t>Sewage treatment in Bengaluru (PLOS Water) (PLOS Water, 2026): Decentralised capacity ~615 MLD, ~250 MLD actually treated https://journals.plos.org/water/article?id=10.1371%2Fjournal.pwat.0000571</t>
        </is>
      </c>
      <c r="L23" s="11" t="inlineStr">
        <is>
          <t>Why Bengaluru should reuse treated used water (WELL Labs, 2026): ~4,000 on-site STPs treat ~371 MLD https://welllabs.org/why-bengaluru-should-reuse-treated-used-water</t>
        </is>
      </c>
    </row>
    <row r="24">
      <c r="A24" s="11" t="inlineStr">
        <is>
          <t>bulk_cap_mld</t>
        </is>
      </c>
      <c r="B24" s="11" t="inlineStr">
        <is>
          <t>Assets at replacement cost</t>
        </is>
      </c>
      <c r="C24" s="11" t="inlineStr">
        <is>
          <t>Bulk supply capacity, Stages I-V</t>
        </is>
      </c>
      <c r="D24" s="11" t="n">
        <v>2225</v>
      </c>
      <c r="E24" s="11" t="n">
        <v>2225</v>
      </c>
      <c r="F24" s="11" t="n">
        <v>2225</v>
      </c>
      <c r="G24" s="11" t="inlineStr">
        <is>
          <t>MLD</t>
        </is>
      </c>
      <c r="H24" s="11" t="inlineStr">
        <is>
          <t>sourced</t>
        </is>
      </c>
      <c r="I24" s="11" t="inlineStr">
        <is>
          <t>The five Cauvery stages were built for 2,225 MLD. That is the capacity whose replacement cost the model charges.</t>
        </is>
      </c>
      <c r="J24" s="11" t="inlineStr"/>
      <c r="K24" s="11" t="inlineStr">
        <is>
          <t>Karnataka Budget 2026-27, para 304 (Govt of Karnataka, 2026): 2,225 MLD through Phases I-V for ~1.40 crore people https://cm.karnataka.gov.in/uploads/media_to_upload1772784239.pdf</t>
        </is>
      </c>
      <c r="L24" s="11" t="inlineStr">
        <is>
          <t>Karnataka government announces Cauvery Stage VI (The Hindu, 2024): Stage V takes total to 2,225 MLD (1,450 + 775) https://www.thehindu.com/news/cities/bangalore/karnataka-government-announces-cauvery-stage-vi-project-to-cater-to-water-demand-of-bengaluru/article68761455.ece</t>
        </is>
      </c>
      <c r="M24" s="11" t="inlineStr">
        <is>
          <t>BWSSP Phase 3 Final Report, Table 6.2 (JICA / NJS, 2017): Stages I-IV 1,460 MLD + Stage V 775 MLD = 2,235 MLD https://data.opencity.in/dataset/78cf630a-b327-461c-9c91-b41a789726e5/resource/f9d68d71-d6cd-4006-93d4-386217e3b71a/download/f48311a7-d145-43b7-b5c2-d82786f19823.pdf</t>
        </is>
      </c>
    </row>
    <row r="25">
      <c r="A25" s="11" t="inlineStr">
        <is>
          <t>bulk_cr_mld</t>
        </is>
      </c>
      <c r="B25" s="11" t="inlineStr">
        <is>
          <t>Assets at replacement cost</t>
        </is>
      </c>
      <c r="C25" s="11" t="inlineStr">
        <is>
          <t>Replacement cost of bulk supply (Stage V ≈ 5.6-7.1)</t>
        </is>
      </c>
      <c r="D25" s="11" t="n">
        <v>7</v>
      </c>
      <c r="E25" s="11" t="n">
        <v>5.6</v>
      </c>
      <c r="F25" s="11" t="n">
        <v>9</v>
      </c>
      <c r="G25" s="11" t="inlineStr">
        <is>
          <t>₹ cr/MLD</t>
        </is>
      </c>
      <c r="H25" s="11" t="inlineStr">
        <is>
          <t>derived</t>
        </is>
      </c>
      <c r="I25" s="11" t="inlineStr">
        <is>
          <t>Stage V, the newest stage, cost ₹4,336-5,550 crore for 775 MLD, or ₹5.6-7.2 crore per MLD for intake, treatment and 100 km of mains. Rebuilding today would cost at least that.</t>
        </is>
      </c>
      <c r="J25" s="11" t="inlineStr">
        <is>
          <t>₹4,500 cr water-only / 775 MLD = ₹5.8 cr/MLD at 2018-24 prices; 7.0 allows for price rise since. Stage VI (₹13.9 cr/MLD) is the upper reference, handled under scarcity.</t>
        </is>
      </c>
      <c r="K25" s="11" t="inlineStr">
        <is>
          <t>5th phase Cauvery water supply to benefit 50 lakh people (Indian Express, 2024): Stage V worth ₹4,336 cr, 775 MLD https://indianexpress.com/article/cities/bangalore/5th-phase-cauvery-water-supply-benefit-50-lakh-people-9623784</t>
        </is>
      </c>
      <c r="L25" s="11" t="inlineStr">
        <is>
          <t>Pre-commissioning of Cauvery Stage V from July 15 (New Indian Express, 2024): Project cost ₹5,500 cr, JICA loan ₹4,661 cr https://www.newindianexpress.com/states/karnataka/2024/Jul/09/pre-commissioning-of-cauvery-stage-v-from-july-15-bwssb-chairman</t>
        </is>
      </c>
      <c r="M25" s="11" t="inlineStr">
        <is>
          <t>Japanese agency to help city get 750 MLD Cauvery water (Economic Times, 2018): ₹5,550 cr total: ₹4,500 cr water infrastructure + ₹1,000 cr sewerage for 110 villages https://economictimes.indiatimes.com/news/politics-and-nation/japanese-agency-to-help-city-get-750-mld-cauvery-water/articleshow/62645347.cms</t>
        </is>
      </c>
    </row>
    <row r="26">
      <c r="A26" s="11" t="inlineStr">
        <is>
          <t>dist_km</t>
        </is>
      </c>
      <c r="B26" s="11" t="inlineStr">
        <is>
          <t>Assets at replacement cost</t>
        </is>
      </c>
      <c r="C26" s="11" t="inlineStr">
        <is>
          <t>Distribution pipes</t>
        </is>
      </c>
      <c r="D26" s="11" t="n">
        <v>14194</v>
      </c>
      <c r="E26" s="11" t="n">
        <v>14194</v>
      </c>
      <c r="F26" s="11" t="n">
        <v>14194</v>
      </c>
      <c r="G26" s="11" t="inlineStr">
        <is>
          <t>km</t>
        </is>
      </c>
      <c r="H26" s="11" t="inlineStr">
        <is>
          <t>sourced</t>
        </is>
      </c>
      <c r="I26" s="11" t="inlineStr">
        <is>
          <t>BWSSB's Chief Engineer reported 14,194 km of water pipes in 2024, from 100 mm to 3,000 mm wide, including the 110 villages.</t>
        </is>
      </c>
      <c r="J26" s="11" t="inlineStr">
        <is>
          <t>8,746 + 2,979 + 205 ≈ 11,930 km by JICA's count; the CE's 14,194 km likely includes later extensions. WELL Labs' older 6,000 km figure is out of date.</t>
        </is>
      </c>
      <c r="K26" s="11" t="inlineStr">
        <is>
          <t>Presentation by Chief Engineer, BWSSB (BWSSB (via AMDA), 2024): Total length of water supply pipelines 14,194 km https://amdaindia.org/wp-content/uploads/Presentation-by-Chief-Engineer-Bangalore-Water-Supply-and-Sewerage-Board-WATER-SENSITIVITY-MS-3rd-PPT-Part-II.pdf</t>
        </is>
      </c>
      <c r="L26" s="11" t="inlineStr">
        <is>
          <t>BWSSP Phase 3 Final Report (JICA / NJS, 2017): 8,746 km of pipelines in 2017; Phase 3 adds 2,979 km distribution + 205 km mains in 110 villages https://openjicareport.jica.go.jp/pdf/12300356_01.pdf</t>
        </is>
      </c>
      <c r="M26" s="11" t="inlineStr">
        <is>
          <t>India 100 Cities (World Bank, 2025): Ageing network needs about 5,000 km replaced https://documents1.worldbank.org/curated/en/099120225085513740/pdf/P180618-a7ca10c8-fca9-4284-8b87-182c8231a4de.pdf</t>
        </is>
      </c>
    </row>
    <row r="27">
      <c r="A27" s="11" t="inlineStr">
        <is>
          <t>dist_cr_km</t>
        </is>
      </c>
      <c r="B27" s="11" t="inlineStr">
        <is>
          <t>Assets at replacement cost</t>
        </is>
      </c>
      <c r="C27" s="11" t="inlineStr">
        <is>
          <t>Replacement cost of distribution, incl. reservoirs</t>
        </is>
      </c>
      <c r="D27" s="11" t="n">
        <v>0.6</v>
      </c>
      <c r="E27" s="11" t="n">
        <v>0.4</v>
      </c>
      <c r="F27" s="11" t="n">
        <v>1</v>
      </c>
      <c r="G27" s="11" t="inlineStr">
        <is>
          <t>₹ cr/km</t>
        </is>
      </c>
      <c r="H27" s="11" t="inlineStr">
        <is>
          <t>derived</t>
        </is>
      </c>
      <c r="I27" s="11" t="inlineStr">
        <is>
          <t>Recent 24x7 network rebuilds in Karnataka and Tamil Nadu cost ₹0.35-0.7 crore per km including tanks and connections. Bengaluru's network also has 70 big reservoirs and very large trunk mains, so 0.6 is used.</t>
        </is>
      </c>
      <c r="J27" s="11" t="inlineStr">
        <is>
          <t>Per-km figures are our arithmetic on project totals; they mix in tanks, meters and connections. Older BWSSB costs need inflating to 2026 prices.</t>
        </is>
      </c>
      <c r="K27" s="11" t="inlineStr">
        <is>
          <t>CCMC's round-the-clock water supply project enters home stretch (New Indian Express, 2026): Coimbatore: ₹646.71 cr construction; 1,749 km distribution + 71 km feeders + 33 new OHTs → ~₹0.36 cr/km https://www.newindianexpress.com/states/tamil-nadu/2026/Jun/27/eight-years-on-ccmcs-round-the-clock-water-supply-project-enters-home-stretch</t>
        </is>
      </c>
      <c r="L27" s="11" t="inlineStr">
        <is>
          <t>Water supply of Hubballi-Dharwad is not being privatised (The Hindu, 2022): Hubballi-Dharwad 24x7 project ₹1,207 cr https://www.thehindu.com/news/national/karnataka/it-is-not-privatisation-of-water-supply-clarify-karnataka-officials/article65758725.ece</t>
        </is>
      </c>
      <c r="M27" s="11" t="inlineStr">
        <is>
          <t>ESA of Continuous Water Supply Project, Hubballi-Dharwad (World Bank, 2021): About 1,690 km of distribution line to be re-laid → ≤₹0.71 cr/km incl. bulk works https://documents1.worldbank.org/curated/en/864961636633868070/pdf/Environmental-and-Social-Assessment-of-Continuous-Water-Supply-Project-in-Hubballi-Dharwad-Karnataka.pdf</t>
        </is>
      </c>
      <c r="N27" s="11" t="inlineStr">
        <is>
          <t>About BWSSB (GBWASP) (BWSSB, None): ₹500 cr for 2,713 km distribution + 195 km feeders + 85 km trunk mains (2008-12 prices) https://bwssb.karnataka.gov.in/info-1/About+BWSSB/en</t>
        </is>
      </c>
    </row>
    <row r="28">
      <c r="A28" s="11" t="inlineStr">
        <is>
          <t>misc_cr</t>
        </is>
      </c>
      <c r="B28" s="11" t="inlineStr">
        <is>
          <t>Assets at replacement cost</t>
        </is>
      </c>
      <c r="C28" s="11" t="inlineStr">
        <is>
          <t>Meters, IT, buildings, vehicles</t>
        </is>
      </c>
      <c r="D28" s="11" t="n">
        <v>1500</v>
      </c>
      <c r="E28" s="11" t="n">
        <v>1000</v>
      </c>
      <c r="F28" s="11" t="n">
        <v>2500</v>
      </c>
      <c r="G28" s="11" t="inlineStr">
        <is>
          <t>₹ cr</t>
        </is>
      </c>
      <c r="H28" s="11" t="inlineStr">
        <is>
          <t>assumed</t>
        </is>
      </c>
      <c r="I28" s="11" t="inlineStr">
        <is>
          <t>No asset register is public. Replacing meters for 11.3 lakh connections alone would cost roughly ₹400-900 crore; offices, labs, SCADA, IT and vehicles take the total to around ₹1,500 crore.</t>
        </is>
      </c>
      <c r="J28" s="11" t="inlineStr">
        <is>
          <t>Weakest asset number in the model. Meter cost per unit (₹3,500-8,000) times connections bounds only the meter part; buildings and IT are a modeller's allowance.</t>
        </is>
      </c>
      <c r="K28" s="11" t="inlineStr">
        <is>
          <t>BWSSB's ₹4.87 crore plan to cut household water use (Bangalore Mirror, 2026): BWSSB has more than 11.3 lakh connections https://bangaloremirror.indiatimes.com/bangalore/others/bwssbs-rs-4-87-crore-plan-aims-to-cut-household-water-use-by-up-to-25/articleshow/133812045.cms</t>
        </is>
      </c>
      <c r="L28" s="11" t="inlineStr">
        <is>
          <t>BWSSB to push internal water metering (Citizen Matters, 2021): A water meter costs ₹7,000-8,000 under the capex model (apartment sub-meters) https://citizenmatters.in/bwssb-water-meter-policy-apartments-penalty</t>
        </is>
      </c>
      <c r="M28" s="11" t="inlineStr">
        <is>
          <t>National Infrastructure Pipeline, Vol. 3B (Govt of India (DEA), 2020): Pune 24x7 water supply, Tender II smart meters: ₹165 cr https://www.pppinindia.gov.in/report/Report-of-the%20Task-Force-National-Infrastructure-Pipeline-(NIP)-%20Volume-3B_1686032834.pdf</t>
        </is>
      </c>
    </row>
    <row r="29">
      <c r="A29" s="11" t="inlineStr">
        <is>
          <t>sewer_km</t>
        </is>
      </c>
      <c r="B29" s="11" t="inlineStr">
        <is>
          <t>Assets at replacement cost</t>
        </is>
      </c>
      <c r="C29" s="11" t="inlineStr">
        <is>
          <t>Sewer network</t>
        </is>
      </c>
      <c r="D29" s="11" t="n">
        <v>11894</v>
      </c>
      <c r="E29" s="11" t="n">
        <v>8387</v>
      </c>
      <c r="F29" s="11" t="n">
        <v>14500</v>
      </c>
      <c r="G29" s="11" t="inlineStr">
        <is>
          <t>km</t>
        </is>
      </c>
      <c r="H29" s="11" t="inlineStr">
        <is>
          <t>sourced</t>
        </is>
      </c>
      <c r="I29" s="11" t="inlineStr">
        <is>
          <t>BWSSB's Chief Engineer gave 11,894 km in 2024, up from 8,387 km on its older website. The high end adds the ~2,580 km of sewers being laid in the 110 villages.</t>
        </is>
      </c>
      <c r="J29" s="11" t="inlineStr"/>
      <c r="K29" s="11" t="inlineStr">
        <is>
          <t>Presentation by Chief Engineer, BWSSB (BWSSB (via AMDA), 2024): Total length of sewer system 11,894 km; 3.91 lakh manholes https://amdaindia.org/wp-content/uploads/Presentation-by-Chief-Engineer-Bangalore-Water-Supply-and-Sewerage-Board-WATER-SENSITIVITY-MS-3rd-PPT-Part-II.pdf</t>
        </is>
      </c>
      <c r="L29" s="11" t="inlineStr">
        <is>
          <t>About BWSSB (BWSSB, None): Total length of sewer system 8,387 km (6,906 km laterals + 1,481 km trunk) https://bwssb.karnataka.gov.in/info-1/About+BWSSB/en</t>
        </is>
      </c>
      <c r="M29" s="11" t="inlineStr">
        <is>
          <t>BWSSP Phase 3 Final Report (JICA / NJS, 2017): Phase 3 builds 338 km main + 2,243 km lateral sewers in 110 villages https://openjicareport.jica.go.jp/pdf/12300356_01.pdf</t>
        </is>
      </c>
    </row>
    <row r="30">
      <c r="A30" s="11" t="inlineStr">
        <is>
          <t>sewer_cr_km</t>
        </is>
      </c>
      <c r="B30" s="11" t="inlineStr">
        <is>
          <t>Assets at replacement cost</t>
        </is>
      </c>
      <c r="C30" s="11" t="inlineStr">
        <is>
          <t>Replacement cost of sewers</t>
        </is>
      </c>
      <c r="D30" s="11" t="n">
        <v>0.8</v>
      </c>
      <c r="E30" s="11" t="n">
        <v>0.5</v>
      </c>
      <c r="F30" s="11" t="n">
        <v>1.5</v>
      </c>
      <c r="G30" s="11" t="inlineStr">
        <is>
          <t>₹ cr/km</t>
        </is>
      </c>
      <c r="H30" s="11" t="inlineStr">
        <is>
          <t>derived</t>
        </is>
      </c>
      <c r="I30" s="11" t="inlineStr">
        <is>
          <t>BWSSB laid 2,300 km of sewers in the outer areas for ₹1,192 crore around 2010-12, about ₹0.5 crore per km before inflation. Trunk sewers cost far more per km, so 0.8 is a network average.</t>
        </is>
      </c>
      <c r="J30" s="11" t="inlineStr">
        <is>
          <t>AMRUT 2.0 sewerage approvals of ~₹66,118 cr (Indian Infrastructure, Mar 2026) over 40,021 km give ₹1.65 cr/km, but that includes STPs. BWSSB's EAP trunk-sewer rehab ran ₹2.5-7.1 cr/km (BWSSB website).</t>
        </is>
      </c>
      <c r="K30" s="11" t="inlineStr">
        <is>
          <t>About BWSSB (GBWASP sewerage) (BWSSB, None): ₹1,192 cr for 2,000 km laterals + 300 km mains, incl. road restoration https://bwssb.karnataka.gov.in/info-1/About+BWSSB/en</t>
        </is>
      </c>
      <c r="L30" s="11" t="inlineStr">
        <is>
          <t>Lok Sabha USQ 5456 (Lok Sabha, 2017): Karmalichak (Patna) 96.54 km sewer network ₹277.42 cr → ₹2.87 cr/km https://sansad.in/getFile/loksabhaquestions/annex/11/AU5456.pdf</t>
        </is>
      </c>
      <c r="M30" s="11" t="inlineStr">
        <is>
          <t>Lok Sabha USQ 2436 (AMRUT) (Lok Sabha, 2026): AMRUT 2.0: 605 sewerage projects covering 40,021 km of sewer network https://sansad.in/getFile/annex/271/AU2436_qh9ebA.pdf?source=pqars</t>
        </is>
      </c>
    </row>
    <row r="31">
      <c r="A31" s="11" t="inlineStr">
        <is>
          <t>life_bulk</t>
        </is>
      </c>
      <c r="B31" s="11" t="inlineStr">
        <is>
          <t>Assets at replacement cost</t>
        </is>
      </c>
      <c r="C31" s="11" t="inlineStr">
        <is>
          <t>Life: bulk and distribution</t>
        </is>
      </c>
      <c r="D31" s="11" t="n">
        <v>40</v>
      </c>
      <c r="E31" s="11" t="n">
        <v>30</v>
      </c>
      <c r="F31" s="11" t="n">
        <v>60</v>
      </c>
      <c r="G31" s="11" t="inlineStr">
        <is>
          <t>yr</t>
        </is>
      </c>
      <c r="H31" s="11" t="inlineStr">
        <is>
          <t>assumed</t>
        </is>
      </c>
      <c r="I31" s="11" t="inlineStr">
        <is>
          <t>Pipes can last 60-100 years but pumps and motors last about 15. Forty years is a blend for a system that is mostly pipes, mains and tanks, with a lot of pumping plant.</t>
        </is>
      </c>
      <c r="J31" s="11" t="inlineStr">
        <is>
          <t>CPHEEO figures are design periods (how far ahead to size assets), not physical lives, so they are a floor.</t>
        </is>
      </c>
      <c r="K31" s="11" t="inlineStr">
        <is>
          <t>Companies Act 2013, Schedule II (Govt of India, 2013): Water distribution plant including pipelines: 30 years; general plant and machinery: 15 years https://bcasonline.org/Referencer2015-16/Other%20Laws/Company%20Law/schedule2_useful_lives_to_compute_depreciaton.htm</t>
        </is>
      </c>
      <c r="L31" s="11" t="inlineStr">
        <is>
          <t>Manual on Sewerage and Sewage Treatment (CPHEEO, MoHUA, 2013): Design period: civil works/pipes 30 years, pumping machinery 15 years https://phedharyana.gov.in/WriteReadData/WSSO/Manuals/manual_on_sewerage_and_sewage_treatment_%20edition_CPHEEO_2012.pdf</t>
        </is>
      </c>
      <c r="M31" s="11" t="inlineStr">
        <is>
          <t>Sydney Water price proposal 2025-30 (Sydney Water / IPART, 2024): Expected life of new water assets 64-72 years https://www.sydneywater.com.au/content/dam/sydneywater/documents/sydney-water-price-proposal-2025-30.pdf</t>
        </is>
      </c>
      <c r="N31" s="11" t="inlineStr">
        <is>
          <t>Our Water, Our Voice FAQ (Sydney Water, 2025): Life expectancy of pipes is around 100 years https://www.sydneywater.com.au/content/dam/sydneywater/documents/our-water-our-voice-frequently-asked-questions.pdf</t>
        </is>
      </c>
    </row>
    <row r="32">
      <c r="A32" s="11" t="inlineStr">
        <is>
          <t>life_sewer</t>
        </is>
      </c>
      <c r="B32" s="11" t="inlineStr">
        <is>
          <t>Assets at replacement cost</t>
        </is>
      </c>
      <c r="C32" s="11" t="inlineStr">
        <is>
          <t>Life: sewers</t>
        </is>
      </c>
      <c r="D32" s="11" t="n">
        <v>50</v>
      </c>
      <c r="E32" s="11" t="n">
        <v>40</v>
      </c>
      <c r="F32" s="11" t="n">
        <v>80</v>
      </c>
      <c r="G32" s="11" t="inlineStr">
        <is>
          <t>yr</t>
        </is>
      </c>
      <c r="H32" s="11" t="inlineStr">
        <is>
          <t>assumed</t>
        </is>
      </c>
      <c r="I32" s="11" t="inlineStr">
        <is>
          <t>Sewer pipes and manholes are long-lived civil works; Indian design manuals use 30 years and Australian regulators 42-58 years. Fifty years is in between.</t>
        </is>
      </c>
      <c r="J32" s="11" t="inlineStr"/>
      <c r="K32" s="11" t="inlineStr">
        <is>
          <t>Manual on Sewerage and Sewage Treatment (CPHEEO, MoHUA, 2013): Conventional sewers design period 30 years; 30 years accepted life of civil works https://phedharyana.gov.in/WriteReadData/WSSO/Manuals/manual_on_sewerage_and_sewage_treatment_%20edition_CPHEEO_2012.pdf</t>
        </is>
      </c>
      <c r="L32" s="11" t="inlineStr">
        <is>
          <t>Sydney Water price proposal 2025-30 (Sydney Water / IPART, 2024): Expected life of new wastewater assets 42-58 years https://www.sydneywater.com.au/content/dam/sydneywater/documents/sydney-water-price-proposal-2025-30.pdf</t>
        </is>
      </c>
      <c r="M32" s="11" t="inlineStr">
        <is>
          <t>Our Water, Our Voice FAQ (Sydney Water, 2025): Pipes last around 100 years with maintenance https://www.sydneywater.com.au/content/dam/sydneywater/documents/our-water-our-voice-frequently-asked-questions.pdf</t>
        </is>
      </c>
    </row>
    <row r="33">
      <c r="A33" s="11" t="inlineStr">
        <is>
          <t>life_stp</t>
        </is>
      </c>
      <c r="B33" s="11" t="inlineStr">
        <is>
          <t>Assets at replacement cost</t>
        </is>
      </c>
      <c r="C33" s="11" t="inlineStr">
        <is>
          <t>Life: STPs</t>
        </is>
      </c>
      <c r="D33" s="11" t="n">
        <v>25</v>
      </c>
      <c r="E33" s="11" t="n">
        <v>15</v>
      </c>
      <c r="F33" s="11" t="n">
        <v>30</v>
      </c>
      <c r="G33" s="11" t="inlineStr">
        <is>
          <t>yr</t>
        </is>
      </c>
      <c r="H33" s="11" t="inlineStr">
        <is>
          <t>assumed</t>
        </is>
      </c>
      <c r="I33" s="11" t="inlineStr">
        <is>
          <t>Sewage plants mix 30-year concrete tanks with 10-15-year pumps, blowers and membranes. Twenty-five years is a blended plant life.</t>
        </is>
      </c>
      <c r="J33" s="11" t="inlineStr"/>
      <c r="K33" s="11" t="inlineStr">
        <is>
          <t>Manual on Sewerage and Sewage Treatment (CPHEEO, MoHUA, 2013): STP design period 15 years; civil 30 years, equipment 10-15 years https://phedharyana.gov.in/WriteReadData/WSSO/Manuals/manual_on_sewerage_and_sewage_treatment_%20edition_CPHEEO_2012.pdf</t>
        </is>
      </c>
      <c r="L33" s="11" t="inlineStr">
        <is>
          <t>Companies Act 2013, Schedule II (Govt of India, 2013): Continuous process plant 25 years; general plant 15 years https://bcasonline.org/Referencer2015-16/Other%20Laws/Company%20Law/schedule2_useful_lives_to_compute_depreciaton.htm</t>
        </is>
      </c>
    </row>
    <row r="34">
      <c r="A34" s="11" t="inlineStr">
        <is>
          <t>life_misc</t>
        </is>
      </c>
      <c r="B34" s="11" t="inlineStr">
        <is>
          <t>Assets at replacement cost</t>
        </is>
      </c>
      <c r="C34" s="11" t="inlineStr">
        <is>
          <t>Life: meters and IT</t>
        </is>
      </c>
      <c r="D34" s="11" t="n">
        <v>15</v>
      </c>
      <c r="E34" s="11" t="n">
        <v>8</v>
      </c>
      <c r="F34" s="11" t="n">
        <v>20</v>
      </c>
      <c r="G34" s="11" t="inlineStr">
        <is>
          <t>yr</t>
        </is>
      </c>
      <c r="H34" s="11" t="inlineStr">
        <is>
          <t>assumed</t>
        </is>
      </c>
      <c r="I34" s="11" t="inlineStr">
        <is>
          <t>Meters, computers and vehicles wear out fast while buildings last decades. Fifteen years matches the default Indian accounting life for plant and equipment.</t>
        </is>
      </c>
      <c r="J34" s="11" t="inlineStr">
        <is>
          <t>A modeller's blend of short-lived equipment and long-lived buildings.</t>
        </is>
      </c>
      <c r="K34" s="11" t="inlineStr">
        <is>
          <t>Companies Act 2013, Schedule II (Govt of India, 2013): General plant 15 years; computers 3-6 years; vehicles 8 years; RCC buildings 60 years https://bcasonline.org/Referencer2015-16/Other%20Laws/Company%20Law/schedule2_useful_lives_to_compute_depreciaton.htm</t>
        </is>
      </c>
      <c r="L34" s="11" t="inlineStr">
        <is>
          <t>Manual on Sewerage and Sewage Treatment (CPHEEO, MoHUA, 2013): Life-cycle costing: equipment 15 years (10 years at sewage treatment sites), civil works 30 years https://phedharyana.gov.in/WriteReadData/WSSO/Manuals/manual_on_sewerage_and_sewage_treatment_%20edition_CPHEEO_2012.pdf</t>
        </is>
      </c>
    </row>
    <row r="35">
      <c r="A35" s="11" t="inlineStr">
        <is>
          <t>tariff_escalation</t>
        </is>
      </c>
      <c r="B35" s="11" t="inlineStr">
        <is>
          <t>Finance</t>
        </is>
      </c>
      <c r="C35" s="11" t="inlineStr">
        <is>
          <t>Automatic yearly tariff rise (nominal)</t>
        </is>
      </c>
      <c r="D35" s="11" t="n">
        <v>0.03</v>
      </c>
      <c r="E35" s="11" t="n">
        <v>0.03</v>
      </c>
      <c r="F35" s="11" t="n">
        <v>0.05</v>
      </c>
      <c r="G35" s="11" t="inlineStr">
        <is>
          <t>share per yr</t>
        </is>
      </c>
      <c r="H35" s="11" t="inlineStr">
        <is>
          <t>reference</t>
        </is>
      </c>
      <c r="I35" s="11" t="inlineStr">
        <is>
          <t>Since 2025 BWSSB tariffs rise by 3% every 1 April, as the Karnataka Administrative Reforms Commission recommended. With inflation at about 5%, that is a real cut of about 2% a year.</t>
        </is>
      </c>
      <c r="J35" s="11" t="inlineStr">
        <is>
          <t>High end 5% matches Hyderabad's CURE Bill 2026 and Pune's project condition (research file A, section 9).</t>
        </is>
      </c>
      <c r="K35" s="11" t="inlineStr">
        <is>
          <t>Revised Water Tariff Ready Reckoner 2025 (BWSSB, 2025): 3% automatic annual increase every 1 April https://bwssb.karnataka.gov.in/storage/pdf-files/WaterTariff-2025.pdf</t>
        </is>
      </c>
      <c r="L35" s="11" t="inlineStr">
        <is>
          <t>Bengaluru water tariff hike: 1 paisa per litre (India Today, 2025): Tariffs to rise 3% every year from April 2026 https://www.indiatoday.in/cities/bengaluru/story/bengaluru-water-tariff-hike-from-april-10-bwssb-announces-new-slab-pased-pricing-2706587-2025-04-09</t>
        </is>
      </c>
      <c r="M35" s="11" t="inlineStr">
        <is>
          <t>BWSSB raises rates by 3% from April 1 (Asianet Newsable, 2026): 3% hike implemented from 1 April 2026 https://newsable.asianetnews.com/karnataka-news/bwssb-increases-water-tariff-by-3-percent-in-bengaluru-from-april-1-articleshow-bzb9urt</t>
        </is>
      </c>
    </row>
    <row r="36">
      <c r="A36" s="11" t="inlineStr">
        <is>
          <t>wacc_real</t>
        </is>
      </c>
      <c r="B36" s="11" t="inlineStr">
        <is>
          <t>Finance</t>
        </is>
      </c>
      <c r="C36" s="11" t="inlineStr">
        <is>
          <t>Cost of capital (real)</t>
        </is>
      </c>
      <c r="D36" s="11" t="n">
        <v>0.04</v>
      </c>
      <c r="E36" s="11" t="n">
        <v>0.02</v>
      </c>
      <c r="F36" s="11" t="n">
        <v>0.06</v>
      </c>
      <c r="G36" s="11" t="inlineStr">
        <is>
          <t>real, per yr</t>
        </is>
      </c>
      <c r="H36" s="11" t="inlineStr">
        <is>
          <t>derived</t>
        </is>
      </c>
      <c r="I36" s="11" t="inlineStr">
        <is>
          <t>Money tied up in pipes and plants has a cost even for a public body. 4% after inflation sits between what the government pays to borrow (about 2% real) and what Indian regulators allow power utilities (about 5.5-6% real), and close to England's water regulator (4.0%).</t>
        </is>
      </c>
      <c r="J36" s="11" t="inlineStr">
        <is>
          <t>Derivation (Fisher, real = (1+nominal)/(1+CPI) - 1, CPI 5.2%): G-sec 7.39% → 2.1% real; 10-yr SDL 8.18% → 2.8%; municipal bond ~8.25% → 2.9%; JICA yen loan 1.2% plus ~0.6%/yr rupee slide against the yen since 2018 → ~1.8% nominal → about -3% real; Indian regulated return on equity 15.5% → ~9.8% real, and a 70:30 debt-equity regulated WACC of ~11% nominal → ~5.5% real. A mix of cheap concessional debt and market debt gives 2-3%; adding an equity-like return for risk gives 4-6%. 4% is the central choice; 2% is the 'sovereign borrower' view and 6% the 'regulated utility' view.</t>
        </is>
      </c>
      <c r="K36" s="11" t="inlineStr">
        <is>
          <t>India 10-year bond yield, historical data (Investing.com, 2026): 10-yr G-sec closed 7.389% on 29 Oct 2026 https://www.investing.com/rates-bonds/india-10-year-bond-yield-historical-data</t>
        </is>
      </c>
      <c r="L36" s="11" t="inlineStr">
        <is>
          <t>Municipal bonds statistics (SEBI, 2026): 2025-26 municipal coupons 7.65-8.50% (e.g. Tiruppur 8.50%, Coimbatore 8.29%, Nashik 8.05%) https://www.sebi.gov.in/statistics/municipalbonds.html</t>
        </is>
      </c>
      <c r="M36" s="11" t="inlineStr">
        <is>
          <t>RBI MPC: calibrated tightening (Business Standard, 2026): RBI projects FY27 CPI inflation at 5.2% https://www.business-standard.com/finance/news/india-bond-yield-rbi-mpc-repo-rate-calibrated-tightening-126100700323_1.html</t>
        </is>
      </c>
      <c r="N36" s="11" t="inlineStr">
        <is>
          <t>PR24 final determinations: allowed return appendix (Ofwat, 2024): Appointee WACC 4.03% real (CPIH) https://www.ofwat.gov.uk/wp-content/uploads/2024/12/PR24-final-determinations-Aligning-risk-and-return-Allowed-return-Appendix.pdf</t>
        </is>
      </c>
    </row>
    <row r="37">
      <c r="A37" s="11" t="inlineStr">
        <is>
          <t>grant_share</t>
        </is>
      </c>
      <c r="B37" s="11" t="inlineStr">
        <is>
          <t>Finance</t>
        </is>
      </c>
      <c r="C37" s="11" t="inlineStr">
        <is>
          <t>Capital paid by taxpayers, not bills</t>
        </is>
      </c>
      <c r="D37" s="11" t="n">
        <v>0</v>
      </c>
      <c r="E37" s="11" t="n">
        <v>0</v>
      </c>
      <c r="F37" s="11" t="n">
        <v>0</v>
      </c>
      <c r="G37" s="11" t="inlineStr">
        <is>
          <t>share</t>
        </is>
      </c>
      <c r="H37" s="11" t="inlineStr">
        <is>
          <t>assumed</t>
        </is>
      </c>
      <c r="I37" s="11" t="inlineStr">
        <is>
          <t>The full cost of water should be counted before deciding who pays, so the default puts all capital on the bill. Move it to see what grants would take off the tariff, and put on taxpayers. AMRUT 2.0 pays 25% of new project cost for Bengaluru.</t>
        </is>
      </c>
      <c r="J37" s="11" t="inlineStr">
        <is>
          <t>A JICA loan is not a grant: it is repaid, so it belongs in the cost of capital, not here.</t>
        </is>
      </c>
      <c r="K37" s="11" t="inlineStr">
        <is>
          <t>AMRUT 2.0 Operational Guidelines (MoHUA, 2021): Centre pays 25% of project cost in cities above 10 lakh https://amrut.mohua.gov.in/uploads/AMRUT_2.0_Operational_Guidelines.pdf</t>
        </is>
      </c>
      <c r="L37" s="11" t="inlineStr">
        <is>
          <t>Japanese agency to help city get 750 MLD Cauvery water (Economic Times, 2018): Stage V: JICA 85%, GoK 7.5%, BWSSB 7.5% https://economictimes.indiatimes.com/news/politics-and-nation/japanese-agency-to-help-city-get-750-mld-cauvery-water/articleshow/62645347.cms</t>
        </is>
      </c>
      <c r="M37" s="11" t="inlineStr">
        <is>
          <t>Karnataka Budget 2025-26 (Govt of Karnataka, 2025): ₹3,000 cr promised to BBMP + BWSSB for drains and STPs https://finance.karnataka.gov.in/uploads/media_to_upload1741332694.pdf</t>
        </is>
      </c>
    </row>
    <row r="38">
      <c r="A38" s="11" t="inlineStr">
        <is>
          <t>reserve_pct</t>
        </is>
      </c>
      <c r="B38" s="11" t="inlineStr">
        <is>
          <t>Finance</t>
        </is>
      </c>
      <c r="C38" s="11" t="inlineStr">
        <is>
          <t>Working capital</t>
        </is>
      </c>
      <c r="D38" s="11" t="n">
        <v>0.03</v>
      </c>
      <c r="E38" s="11" t="n">
        <v>0.02</v>
      </c>
      <c r="F38" s="11" t="n">
        <v>0.04</v>
      </c>
      <c r="G38" s="11" t="inlineStr">
        <is>
          <t>share</t>
        </is>
      </c>
      <c r="H38" s="11" t="inlineStr">
        <is>
          <t>assumed</t>
        </is>
      </c>
      <c r="I38" s="11" t="inlineStr">
        <is>
          <t>A utility needs cash to cover the gap between paying bills and collecting them. CERC allows power utilities about one to two months of O&amp;M as working capital; 3% of annual cost is about one month.</t>
        </is>
      </c>
      <c r="J38" s="11" t="inlineStr">
        <is>
          <t>An earlier draft called this a risk reserve. Reviewers pointed out that risk is already paid for by the return on capital, so only working capital is kept.</t>
        </is>
      </c>
      <c r="K38" s="11" t="inlineStr">
        <is>
          <t>Despite tariff revision, BWSSB suffers 25% revenue deficit every month (The Hindu, 2025): Revenue still ~25% short of opex each month https://www.thehindu.com/news/cities/bangalore/despite-tariff-revision-bwssb-suffers-25-revenue-deficit-every-month/article69978962.ece</t>
        </is>
      </c>
      <c r="L38" s="11" t="inlineStr">
        <is>
          <t>Karnataka govt caps tanker water prices (New Indian Express, 2024): In the 2024 drought BWSSB hired tankers at ₹5,200/day (6 kL) and ₹7,100/day (12 kL) https://www.newindianexpress.com/states/karnataka/2024/Mar/08/karnataka-govt-acts-caps-tanker-water-prices</t>
        </is>
      </c>
    </row>
    <row r="39">
      <c r="A39" s="11" t="inlineStr">
        <is>
          <t>gsec_10y</t>
        </is>
      </c>
      <c r="B39" s="11" t="inlineStr">
        <is>
          <t>Finance</t>
        </is>
      </c>
      <c r="C39" s="11" t="inlineStr">
        <is>
          <t>10-year government bond yield (nominal)</t>
        </is>
      </c>
      <c r="D39" s="11" t="n">
        <v>0.07389999999999999</v>
      </c>
      <c r="E39" s="11" t="n">
        <v>0.07099999999999999</v>
      </c>
      <c r="F39" s="11" t="n">
        <v>0.075</v>
      </c>
      <c r="G39" s="11" t="inlineStr">
        <is>
          <t>share per yr</t>
        </is>
      </c>
      <c r="H39" s="11" t="inlineStr">
        <is>
          <t>reference</t>
        </is>
      </c>
      <c r="I39" s="11" t="inlineStr">
        <is>
          <t>The 10-year central government bond yielded 7.39% at the end of October 2026. It is the risk-free floor for any borrower in India.</t>
        </is>
      </c>
      <c r="J39" s="11" t="inlineStr"/>
      <c r="K39" s="11" t="inlineStr">
        <is>
          <t>India 10-year bond yield, historical data (Investing.com, 2026): 7.389% on 29 Oct 2026; range 7.14-7.50% in October https://www.investing.com/rates-bonds/india-10-year-bond-yield-historical-data</t>
        </is>
      </c>
      <c r="L39" s="11" t="inlineStr">
        <is>
          <t>Tenor-wise indicative yields (CCIL, 2026): 10-yr 7.47% on 27 Oct 2026; 10-yr SDL 8.18% https://www.ccilindia.com/tenorwise-indicative-yields</t>
        </is>
      </c>
      <c r="M39" s="11" t="inlineStr">
        <is>
          <t>RBI MPC: calibrated tightening (Business Standard, 2026): Bond yields rose after the 7 Oct 2026 repo hike https://www.business-standard.com/finance/news/india-bond-yield-rbi-mpc-repo-rate-calibrated-tightening-126100700323_1.html</t>
        </is>
      </c>
    </row>
    <row r="40">
      <c r="A40" s="11" t="inlineStr">
        <is>
          <t>muni_coupon</t>
        </is>
      </c>
      <c r="B40" s="11" t="inlineStr">
        <is>
          <t>Finance</t>
        </is>
      </c>
      <c r="C40" s="11" t="inlineStr">
        <is>
          <t>Recent Indian municipal bond coupon (nominal)</t>
        </is>
      </c>
      <c r="D40" s="11" t="n">
        <v>0.0825</v>
      </c>
      <c r="E40" s="11" t="n">
        <v>0.078</v>
      </c>
      <c r="F40" s="11" t="n">
        <v>0.095</v>
      </c>
      <c r="G40" s="11" t="inlineStr">
        <is>
          <t>share per yr</t>
        </is>
      </c>
      <c r="H40" s="11" t="inlineStr">
        <is>
          <t>reference</t>
        </is>
      </c>
      <c r="I40" s="11" t="inlineStr">
        <is>
          <t>Indian city bonds issued in 2025-26 paid 7.65-8.50%, averaging about 8.25% for the 2026 issues. With yields now higher, a new Bengaluru issue could cost 8.5-9.5%.</t>
        </is>
      </c>
      <c r="J40" s="11" t="inlineStr">
        <is>
          <t>Neither BBMP/GBA nor BWSSB has issued under SEBI's municipal debt rules (as of 30 Sep 2026). Bangalore issued India's first municipal bond in 1997.</t>
        </is>
      </c>
      <c r="K40" s="11" t="inlineStr">
        <is>
          <t>Municipal bonds statistics (SEBI, 2026): Jan-Mar 2026 issues: 8.50%, 7.95%, 8.29%, 8.50%, 8.05% https://www.sebi.gov.in/statistics/municipalbonds.html</t>
        </is>
      </c>
      <c r="L40" s="11" t="inlineStr">
        <is>
          <t>New Avenues for Municipal Finances (MoHUA, 2026): Coupons ran 132-157 bp over the 10-yr G-sec (Pune 2017, GHMC 2018) https://www.mohua.gov.in/static/uploads/2026/09/946129ab10abc3452b80e72edb4a74a1.pdf</t>
        </is>
      </c>
      <c r="M40" s="11" t="inlineStr">
        <is>
          <t>Municipal bonds special comment (ICRA, 2025): Coupons typically 100-200 bp over GoI yields https://www.icra.in/Rating/DownloadResearchSpecialCommentReportViewer/6211</t>
        </is>
      </c>
    </row>
    <row r="41">
      <c r="A41" s="11" t="inlineStr">
        <is>
          <t>amrut_central_share</t>
        </is>
      </c>
      <c r="B41" s="11" t="inlineStr">
        <is>
          <t>Finance</t>
        </is>
      </c>
      <c r="C41" s="11" t="inlineStr">
        <is>
          <t>AMRUT 2.0 central share for cities above 10 lakh</t>
        </is>
      </c>
      <c r="D41" s="11" t="n">
        <v>0.25</v>
      </c>
      <c r="E41" s="11" t="n">
        <v>0.25</v>
      </c>
      <c r="F41" s="11" t="n">
        <v>0.3333</v>
      </c>
      <c r="G41" s="11" t="inlineStr">
        <is>
          <t>share of project cost</t>
        </is>
      </c>
      <c r="H41" s="11" t="inlineStr">
        <is>
          <t>reference</t>
        </is>
      </c>
      <c r="I41" s="11" t="inlineStr">
        <is>
          <t>Under AMRUT 2.0 the Centre pays 25% of approved water and sewerage projects in cities above 10 lakh people, such as Bengaluru. State and city pay the rest.</t>
        </is>
      </c>
      <c r="J41" s="11" t="inlineStr">
        <is>
          <t>High end 33% reflects the AMRUT 1.0 rule. Karnataka's state/ULB split of the remaining 75% was not found.</t>
        </is>
      </c>
      <c r="K41" s="11" t="inlineStr">
        <is>
          <t>AMRUT 2.0 Operational Guidelines (MoHUA, 2021): Population above 10 lakh: 25% of project funds by Centre (except PPP projects) https://amrut.mohua.gov.in/uploads/AMRUT_2.0_Operational_Guidelines.pdf</t>
        </is>
      </c>
      <c r="L41" s="11" t="inlineStr">
        <is>
          <t>Outcome-based funding for cities (MoHUA (AMRUT), 2023): Central share &gt;10 lakh population: 25%; approved SWAPs ₹1,39,712 cr with CA ₹47,814 cr https://www.amrut.mohua.gov.in/uploads/reform/ulb/Outcome-based-funding-for-cities27-09-2023pdf.pdf</t>
        </is>
      </c>
      <c r="M41" s="11" t="inlineStr">
        <is>
          <t>AMRUT Mission Guidelines (2015) (MoUD, 2015): AMRUT 1.0 gave one-third of project cost for cities above 10 lakh https://www.ielrc.org/content/e1509.pdf</t>
        </is>
      </c>
    </row>
    <row r="42">
      <c r="A42" s="11" t="inlineStr">
        <is>
          <t>rab_hist_cr</t>
        </is>
      </c>
      <c r="B42" s="11" t="inlineStr">
        <is>
          <t>Finance</t>
        </is>
      </c>
      <c r="C42" s="11" t="inlineStr">
        <is>
          <t>Regulatory asset base: depreciated historical cost net of grants</t>
        </is>
      </c>
      <c r="D42" s="11" t="n">
        <v>12000</v>
      </c>
      <c r="E42" s="11" t="n">
        <v>12000</v>
      </c>
      <c r="F42" s="11" t="n">
        <v>12000</v>
      </c>
      <c r="G42" s="11" t="inlineStr">
        <is>
          <t>₹ cr</t>
        </is>
      </c>
      <c r="H42" s="11" t="inlineStr">
        <is>
          <t>assumed</t>
        </is>
      </c>
      <c r="I42" s="11" t="inlineStr">
        <is>
          <t>A regulator would let BWSSB earn a return on what it actually invested, after depreciation and minus grants. BWSSB does not publish its accounts, so this is an estimate built from known loans and project costs.</t>
        </is>
      </c>
      <c r="J42" s="11" t="inlineStr">
        <is>
          <t>No balance sheet is public (KERC asked BWSSB to attach its financial statements). Anchors: JICA loans alone total over ₹10,000 cr over 30 years; Stage V cost ₹4,336-5,550 cr (2018-24); state grants for STPs and drains are not netted out. ₹8,000 cr assumes heavy grant funding; ₹20,000 cr assumes most capex since 2000 is still on the books.</t>
        </is>
      </c>
      <c r="K42" s="11" t="inlineStr">
        <is>
          <t>Unveiling of the JICA-funded 5th stage of Cauvery Water Supply Scheme (JICA, 2024): Stage V: JPY 81,060 mn ≈ ₹4,336 cr; JICA loans to BWSSB over 30 years total JPY 179,867 mn ≈ over ₹10,000 cr https://www.jica.go.jp/english/overseas/india/information/press/2024/1553733_53431.html</t>
        </is>
      </c>
      <c r="L42" s="11" t="inlineStr">
        <is>
          <t>Economic Survey of Karnataka 2024-25 (Govt of Karnataka (DES), 2025): CWSS Stage V cost ₹5,550 cr, funded by JICA https://des.karnataka.gov.in/uploads/media_to_upload1756798837.pdf</t>
        </is>
      </c>
      <c r="M42" s="11" t="inlineStr">
        <is>
          <t>Preparatory survey on BWSSP (tariffs and finance) (JICA, 2017): Tariff 'revised in 2005 and 2014, but these revisions were not enough to cover O&amp;M cost, depreciation and interest on loans' https://openjicareport.jica.go.jp/pdf/12300356_01.pdf</t>
        </is>
      </c>
      <c r="N42" s="11" t="inlineStr">
        <is>
          <t>Despite tariff revision, BWSSB suffers 25% revenue deficit every month (The Hindu, 2025): Operating spend ₹239.40 cr/month (Aug 2025), of which energy ₹124 cr; deficit 'not accounting for debt repayment and depreciation' https://www.thehindu.com/news/cities/bangalore/despite-tariff-revision-bwssb-suffers-25-revenue-deficit-every-month/article69978962.ece</t>
        </is>
      </c>
    </row>
    <row r="43">
      <c r="A43" s="11" t="inlineStr">
        <is>
          <t>reg_wacc_nom</t>
        </is>
      </c>
      <c r="B43" s="11" t="inlineStr">
        <is>
          <t>Finance</t>
        </is>
      </c>
      <c r="C43" s="11" t="inlineStr">
        <is>
          <t>Regulator-style nominal return on the asset base</t>
        </is>
      </c>
      <c r="D43" s="11" t="n">
        <v>0.1</v>
      </c>
      <c r="E43" s="11" t="n">
        <v>0.1</v>
      </c>
      <c r="F43" s="11" t="n">
        <v>0.1</v>
      </c>
      <c r="G43" s="11" t="inlineStr">
        <is>
          <t>nominal, per yr</t>
        </is>
      </c>
      <c r="H43" s="11" t="inlineStr">
        <is>
          <t>derived</t>
        </is>
      </c>
      <c r="I43" s="11" t="inlineStr">
        <is>
          <t>Indian regulators let power utilities earn 15.5% on the equity part (30%) and actual interest on the debt part (70%). With debt at 8-9%, that comes to roughly 10-11% a year.</t>
        </is>
      </c>
      <c r="J43" s="11" t="inlineStr">
        <is>
          <t>Derivation: 0.30 × 15.5% + 0.70 × 8.25% (muni coupon) = 10.4%; with debt at 9% it is 11.0%. Ofwat's 4.03% real (~6.5-7% nominal at UK inflation) is shown for contrast. KERC gives zero RoE to utilities with negative net worth, which would apply to BWSSB today.</t>
        </is>
      </c>
      <c r="K43" s="11" t="inlineStr">
        <is>
          <t>CERC order in Petition 876/TT/2025 (quoting Tariff Regulations 2024, Reg. 30) (CERC, 2026): Base return on equity 15.50% (post-tax) for transmission/thermal, grossed up for tax https://cercind.gov.in/2026/Orders/876-TT-2025.pdf</t>
        </is>
      </c>
      <c r="L43" s="11" t="inlineStr">
        <is>
          <t>KERC tariff order 2023 for CESC (KERC, 2023): RoE 15.5% grossed up with MAT to 18.7815%; no RoE allowed where net worth is negative https://kerc.karnataka.gov.in/uploads/26621683892902.pdf</t>
        </is>
      </c>
      <c r="M43" s="11" t="inlineStr">
        <is>
          <t>Municipal bonds statistics (SEBI, 2026): 2025-26 municipal coupons 7.65-8.50% (e.g. Tiruppur 8.50%, Coimbatore 8.29%, Nashik 8.05%) https://www.sebi.gov.in/statistics/municipalbonds.html</t>
        </is>
      </c>
      <c r="N43" s="11" t="inlineStr">
        <is>
          <t>PR24 final determinations: allowed return appendix (Ofwat, 2024): Appointee WACC 4.03% real (CPIH); cost of equity 5.10%; cost of debt 3.15%; gearing 55% https://www.ofwat.gov.uk/wp-content/uploads/2024/12/PR24-final-determinations-Aligning-risk-and-return-Allowed-return-Appendix.pdf</t>
        </is>
      </c>
    </row>
    <row r="44">
      <c r="A44" s="11" t="inlineStr">
        <is>
          <t>reg_dep</t>
        </is>
      </c>
      <c r="B44" s="11" t="inlineStr">
        <is>
          <t>Finance</t>
        </is>
      </c>
      <c r="C44" s="11" t="inlineStr">
        <is>
          <t>Regulatory depreciation rate</t>
        </is>
      </c>
      <c r="D44" s="11" t="n">
        <v>0.04</v>
      </c>
      <c r="E44" s="11" t="n">
        <v>0.04</v>
      </c>
      <c r="F44" s="11" t="n">
        <v>0.04</v>
      </c>
      <c r="G44" s="11" t="inlineStr">
        <is>
          <t>share of asset base per yr</t>
        </is>
      </c>
      <c r="H44" s="11" t="inlineStr">
        <is>
          <t>policy</t>
        </is>
      </c>
      <c r="I44" s="11" t="inlineStr">
        <is>
          <t>Each year a regulator lets the utility recover a slice of the asset's cost. Pipes and civil works last 30-40 years, so a straight-line rate of 3-5% a year is normal in Indian regulation.</t>
        </is>
      </c>
      <c r="J44" s="11" t="inlineStr">
        <is>
          <t>Companies Act Schedule II gives pipelines and water distribution plant a 30-year life (≈3.0%/yr at 10% salvage); CERC uses 5.28%/yr for the first 12 years for transmission and 3.34% for long-lived civil assets. 4% sits between.</t>
        </is>
      </c>
      <c r="K44" s="11" t="inlineStr">
        <is>
          <t>Approach Paper on Tariff Regulations 2024-29 (CERC, 2023): Depreciation 5.28% for the first 12 years and 2.049% for the rest of the life; 70% normative loan repaid over 12 years https://cercind.gov.in/2023/Approach_paper/Approach%20Paper-Tariff%20Regulations%202024-29.pdf</t>
        </is>
      </c>
      <c r="L44" s="11" t="inlineStr">
        <is>
          <t>CERC (Terms and Conditions of Tariff) Regulations, 2024 (CERC, 2024): Depreciation on straight-line method at Appendix rates, salvage 10%; land under lease and hydro reservoir land 3.34% https://cercind.gov.in/regulations/notification-2024.pdf</t>
        </is>
      </c>
      <c r="M44" s="11" t="inlineStr">
        <is>
          <t>Companies Act 2013, Schedule II (useful lives) (CAIRR / Ministry of Corporate Affairs text, 2026): Pipelines 30 years; Gas storage and distribution plant 30 years; Water distribution plant including pipelines: same (30 years) https://ca2013.com/schedule/schedule-ii</t>
        </is>
      </c>
      <c r="N44" s="11" t="inlineStr">
        <is>
          <t>Study on depreciation (Forum of Regulators, 2022): PNGRB and port tariff guidelines adopt Companies Act Schedule II rates on straight-line basis; CERC office buildings 3.34% https://forumofregulators.gov.in/Data/Reports/FOR%20study%20on%20Depriciation.pdf</t>
        </is>
      </c>
    </row>
    <row r="45">
      <c r="A45" s="11" t="inlineStr">
        <is>
          <t>cpi</t>
        </is>
      </c>
      <c r="B45" s="11" t="inlineStr">
        <is>
          <t>Stage VI project finance</t>
        </is>
      </c>
      <c r="C45" s="11" t="inlineStr">
        <is>
          <t>Inflation used to convert nominal to real</t>
        </is>
      </c>
      <c r="D45" s="11" t="n">
        <v>0.052</v>
      </c>
      <c r="E45" s="11" t="n">
        <v>0.045</v>
      </c>
      <c r="F45" s="11" t="n">
        <v>0.06</v>
      </c>
      <c r="G45" s="11" t="inlineStr">
        <is>
          <t>share per yr</t>
        </is>
      </c>
      <c r="H45" s="11" t="inlineStr">
        <is>
          <t>sourced</t>
        </is>
      </c>
      <c r="I45" s="11" t="inlineStr">
        <is>
          <t>The Reserve Bank projects consumer inflation of 5.2% for FY2026-27. All nominal interest rates are turned into real ones with this figure.</t>
        </is>
      </c>
      <c r="J45" s="11" t="inlineStr"/>
      <c r="K45" s="11" t="inlineStr">
        <is>
          <t>RBI MPC: calibrated tightening (Business Standard, 2026): RBI projects FY27 CPI at 5.2%; Q3 6.0%, Q4 5.7% https://www.business-standard.com/finance/news/india-bond-yield-rbi-mpc-repo-rate-calibrated-tightening-126100700323_1.html</t>
        </is>
      </c>
      <c r="L45" s="11" t="inlineStr">
        <is>
          <t>India inflation (September 2026) (CNBC, 2026): CPI 5.54% y/y in September 2026, up from 4.83% https://www.cnbc.com/2026/10/12/india-inflation-oil-energy-iran-war.html</t>
        </is>
      </c>
      <c r="M45" s="11" t="inlineStr">
        <is>
          <t>RBI press release, 7 Oct 2026 (Reserve Bank of India, 2026): Repo rate raised 25 bp to 5.50% https://m.rbi.org.in/Scripts/BS_PressReleaseDisplay.aspx?prid=63403</t>
        </is>
      </c>
    </row>
    <row r="46">
      <c r="A46" s="11" t="inlineStr">
        <is>
          <t>jica_rate</t>
        </is>
      </c>
      <c r="B46" s="11" t="inlineStr">
        <is>
          <t>Stage VI project finance</t>
        </is>
      </c>
      <c r="C46" s="11" t="inlineStr">
        <is>
          <t>JICA loan interest rate</t>
        </is>
      </c>
      <c r="D46" s="11" t="n">
        <v>0.012</v>
      </c>
      <c r="E46" s="11" t="n">
        <v>0.01</v>
      </c>
      <c r="F46" s="11" t="n">
        <v>0.016</v>
      </c>
      <c r="G46" s="11" t="inlineStr">
        <is>
          <t>share per yr (yen)</t>
        </is>
      </c>
      <c r="H46" s="11" t="inlineStr">
        <is>
          <t>sourced</t>
        </is>
      </c>
      <c r="I46" s="11" t="inlineStr">
        <is>
          <t>Japan's aid agency lent for Stage V at 1.2% a year for water and 1.0% for sewerage, over 30 years with 10 years' grace. That is far cheaper than market debt, but the loan is in yen.</t>
        </is>
      </c>
      <c r="J46" s="11" t="inlineStr">
        <is>
          <t>Stage VI's JICA loan is still being negotiated; new JICA loans to India are now priced at a floating TORF + spread. The Karnataka→BWSSB on-lending rate and the yen risk borne by the state are not public.</t>
        </is>
      </c>
      <c r="K46" s="11" t="inlineStr">
        <is>
          <t>ODA Loan Project Data (India) (JICA, 2022): BWSSP Phase 3 (II): 1.2% water / 1.0% sewerage; 30 yrs incl. 10 grace https://www2.jica.go.jp/en/yen_loan/index.php/module/search?anken_name=&amp;area1=0&amp;area2=0&amp;area3=0&amp;chotatsu_kubun=0&amp;country1=11&amp;country2=0&amp;country3=0&amp;currency=jpy&amp;from_year=&amp;industry1=0&amp;industry2=0&amp;industry3=0&amp;offset=20&amp;section1=0&amp;section2=0&amp;section3=0&amp;to_year=</t>
        </is>
      </c>
      <c r="L46" s="11" t="inlineStr">
        <is>
          <t>Lok Sabha USQ 1686 annex (Lok Sabha, 2024): Phase 3 Tranche I JPY 45.0 bn (2018), Tranche II JPY 37.068 bn (2022) https://sansad.in/getFile/loksabhaquestions/annex/182/AU1686_Lh56lr.pdf?source=pqals</t>
        </is>
      </c>
      <c r="M46" s="11" t="inlineStr">
        <is>
          <t>JICA loan for Bengaluru Metro Phase 3 (I) (JICA, 2026): New 2026 Bengaluru loan: TORF + 80 bp, 30 yrs incl. 10 grace https://www.jica.go.jp/english/overseas/india/information/press/2025/1579721_59609.html</t>
        </is>
      </c>
    </row>
    <row r="47">
      <c r="A47" s="11" t="inlineStr">
        <is>
          <t>capex_cr</t>
        </is>
      </c>
      <c r="B47" s="11" t="inlineStr">
        <is>
          <t>Stage VI project finance</t>
        </is>
      </c>
      <c r="C47" s="11" t="inlineStr">
        <is>
          <t>Stage VI capital cost</t>
        </is>
      </c>
      <c r="D47" s="11" t="n">
        <v>6939</v>
      </c>
      <c r="E47" s="11" t="n">
        <v>5177</v>
      </c>
      <c r="F47" s="11" t="n">
        <v>6939</v>
      </c>
      <c r="G47" s="11" t="inlineStr">
        <is>
          <t>₹ cr</t>
        </is>
      </c>
      <c r="H47" s="11" t="inlineStr">
        <is>
          <t>sourced</t>
        </is>
      </c>
      <c r="I47" s="11" t="inlineStr">
        <is>
          <t>The state budget puts Cauvery Stage VI at ₹6,939 crore with JICA help. An older detailed project report quoted ₹5,177 crore.</t>
        </is>
      </c>
      <c r="J47" s="11" t="inlineStr">
        <is>
          <t>₹6,939 cr is the cabinet-approved figure (Feb 2026). One report rounds it to ₹7,000 cr and says the 130 acres of land needed are worth ~₹1,800 cr; whether land is inside ₹6,939 cr is not stated.</t>
        </is>
      </c>
      <c r="K47" s="11" t="inlineStr">
        <is>
          <t>Karnataka Budget 2026-27 speech, para 304 (Govt of Karnataka, 2026): Cauvery Phase VI formulated at ₹6,939 cr with JICA assistance for an additional 6 TMC https://cm.karnataka.gov.in/uploads/media_to_upload1772784239.pdf</t>
        </is>
      </c>
      <c r="L47" s="11" t="inlineStr">
        <is>
          <t>Bengaluru gets Cauvery water, Rs 230 crore spent on Thippagondanahalli to go waste (New Indian Express, 2026): Stage VI to supply an additional 500 MLD by 2028; cabinet approved in February at ₹6,939 cr https://www.newindianexpress.com/cities/bengaluru/2026/Apr/22/bengaluru-gets-cauvery-water-rs-230-crore-spent-on-thippagondanahalli-to-go-waste</t>
        </is>
      </c>
      <c r="M47" s="11" t="inlineStr">
        <is>
          <t>BWSSB plans solar-powered upgrade for Cauvery Stage 6 (Bangalore Mirror, 2025): Stages 1-5 power ~₹86.07 cr/month; Stage 6 (500 MLD) ₹19.13 cr/month on grid, ₹13.35 cr with solar; '₹5,177 crore DPR' https://bangaloremirror.indiatimes.com/bangalore/others/bwssb-plans-solar-powered-upgrade-for-cauvery-stage-6/articleshow/124278554.cms</t>
        </is>
      </c>
      <c r="N47" s="11" t="inlineStr">
        <is>
          <t>Karnataka govt clears ₹7,000-crore Cauvery Stage VI project (NewsFirst Prime, 2026): ~₹7,000 cr project approved; needs about 130 acres of land 'estimated to be worth nearly ₹1,800 crore' https://newsfirstprime.com/bengaluru/karnataka-govt-clears-7000-crore-cauvery-stage-vi-project-to-supply-water-to-bengalurus-layouts-outskirts-11160196</t>
        </is>
      </c>
    </row>
    <row r="48">
      <c r="A48" s="11" t="inlineStr">
        <is>
          <t>overrun</t>
        </is>
      </c>
      <c r="B48" s="11" t="inlineStr">
        <is>
          <t>Stage VI project finance</t>
        </is>
      </c>
      <c r="C48" s="11" t="inlineStr">
        <is>
          <t>Cost overrun</t>
        </is>
      </c>
      <c r="D48" s="11" t="n">
        <v>0</v>
      </c>
      <c r="E48" s="11" t="n">
        <v>0</v>
      </c>
      <c r="F48" s="11" t="n">
        <v>0.8</v>
      </c>
      <c r="G48" s="11" t="inlineStr">
        <is>
          <t>share of capex</t>
        </is>
      </c>
      <c r="H48" s="11" t="inlineStr">
        <is>
          <t>assumed</t>
        </is>
      </c>
      <c r="I48" s="11" t="inlineStr">
        <is>
          <t>Big Indian water and infrastructure projects usually end up costing more than planned. Karnataka's own Yettinahole scheme ran 179% over; central projects average about 19%; large dams worldwide average 96%.</t>
        </is>
      </c>
      <c r="J48" s="11" t="inlineStr">
        <is>
          <t>0 is the budget case. The 0.8 high end sits between the MoSPI average (18.65%) and Yettinahole (179%) / the global dam average (96%, median 27%). Stage V's capex moved from ₹4,336 cr (JICA share) to ₹5,500-5,550 cr all-in, though scope also changed.</t>
        </is>
      </c>
      <c r="K48" s="11" t="inlineStr">
        <is>
          <t>Yettinahole project: CAG flags irregularities (The Hindu, 2026): Project cost escalated by 179%, from ₹8,323.50 cr (2012) to ₹23,251.66 cr (2023) https://www.thehindu.com/news/national/karnataka/yettinahole-project-cag-flags-irregularities-in-tendering-financial-management/article70565215.ece</t>
        </is>
      </c>
      <c r="L48" s="11" t="inlineStr">
        <is>
          <t>Flash Report, Central Sector Projects (December 2023) (MoSPI, 2024): 1,820 projects: overall cost overrun ₹4,82,529.80 cr (18.65% of original cost); average time overrun of delayed projects 36.59 months https://ipm.mospi.gov.in/ReportPage/ViewPdf?id=57&amp;path=Content%5CArchiveReport%5Cflash%5C2023-24%5CFR_dec_2023.pdf</t>
        </is>
      </c>
      <c r="M48" s="11" t="inlineStr">
        <is>
          <t>Should we build more large dams? The actual costs of hydropower megaproject development (Energy Policy (Ansar, Flyvbjerg et al.), 2014): Large dams: actual costs on average 96% above estimates (median 27%); schedules on average 44% longer https://arxiv.org/pdf/1409.0002</t>
        </is>
      </c>
    </row>
    <row r="49">
      <c r="A49" s="11" t="inlineStr">
        <is>
          <t>pf_mld</t>
        </is>
      </c>
      <c r="B49" s="11" t="inlineStr">
        <is>
          <t>Stage VI project finance</t>
        </is>
      </c>
      <c r="C49" s="11" t="inlineStr">
        <is>
          <t>Stage VI design yield</t>
        </is>
      </c>
      <c r="D49" s="11" t="n">
        <v>500</v>
      </c>
      <c r="E49" s="11" t="n">
        <v>500</v>
      </c>
      <c r="F49" s="11" t="n">
        <v>675</v>
      </c>
      <c r="G49" s="11" t="inlineStr">
        <is>
          <t>MLD</t>
        </is>
      </c>
      <c r="H49" s="11" t="inlineStr">
        <is>
          <t>sourced</t>
        </is>
      </c>
      <c r="I49" s="11" t="inlineStr">
        <is>
          <t>BWSSB and JICA documents describe Stage VI as a 500 MLD scheme, which matches the 6 TMC a year the budget mentions. One 2026 article quotes 675 MLD.</t>
        </is>
      </c>
      <c r="J49" s="11" t="inlineStr">
        <is>
          <t>6 TMC/yr ≈ 6 × 77.6 = 466 MLD average, so 500 MLD is a design (peak) figure. The 675 MLD high comes from a single explainer quoting unnamed 'experts'; treat it as weak.</t>
        </is>
      </c>
      <c r="K49" s="11" t="inlineStr">
        <is>
          <t>Appendix 6-3: First field survey (BWSSB) (JICA, 2026): Stage 6 objective: 'Transport 500 MLD ... of water from the Kaveri River reservoir to Bengaluru' https://openjicareport.jica.go.jp/pdf/1000057105_02.pdf</t>
        </is>
      </c>
      <c r="L49" s="11" t="inlineStr">
        <is>
          <t>Bengaluru gets Cauvery water, Rs 230 crore spent on Thippagondanahalli to go waste (New Indian Express, 2026): Stage VI to supply an additional 500 MLD by 2028; cabinet approved in February at ₹6,939 cr https://www.newindianexpress.com/cities/bengaluru/2026/Apr/22/bengaluru-gets-cauvery-water-rs-230-crore-spent-on-thippagondanahalli-to-go-waste</t>
        </is>
      </c>
      <c r="M49" s="11" t="inlineStr">
        <is>
          <t>Karnataka Budget 2026-27 speech, para 304 (Govt of Karnataka, 2026): Cauvery Phase VI formulated at ₹6,939 cr with JICA assistance for an additional 6 TMC https://cm.karnataka.gov.in/uploads/media_to_upload1772784239.pdf</t>
        </is>
      </c>
      <c r="N49" s="11" t="inlineStr">
        <is>
          <t>Mekedatu: why Karnataka wants it, why Tamil Nadu opposes it (New Indian Express, 2026): 'Some experts ... say the Cauvery Stage VI drinking water project will soon add another 675 million litres per Day' https://www.newindianexpress.com/explainers/2026/Aug/05/mekedatu-why-karnataka-wants-it-and-tamil-nadu-opposes-it-what-lies-ahead</t>
        </is>
      </c>
    </row>
    <row r="50">
      <c r="A50" s="11" t="inlineStr">
        <is>
          <t>build_yrs</t>
        </is>
      </c>
      <c r="B50" s="11" t="inlineStr">
        <is>
          <t>Stage VI project finance</t>
        </is>
      </c>
      <c r="C50" s="11" t="inlineStr">
        <is>
          <t>Construction period</t>
        </is>
      </c>
      <c r="D50" s="11" t="n">
        <v>3</v>
      </c>
      <c r="E50" s="11" t="n">
        <v>3</v>
      </c>
      <c r="F50" s="11" t="n">
        <v>6</v>
      </c>
      <c r="G50" s="11" t="inlineStr">
        <is>
          <t>yr</t>
        </is>
      </c>
      <c r="H50" s="11" t="inlineStr">
        <is>
          <t>assumed</t>
        </is>
      </c>
      <c r="I50" s="11" t="inlineStr">
        <is>
          <t>BWSSB says Stage VI will be finished three years after approval. Stage V took about six and a half years from loan signing (Jan 2018) to opening (Oct 2024).</t>
        </is>
      </c>
      <c r="J50" s="11" t="inlineStr">
        <is>
          <t>Stage V: JICA Tranche I signed 24 Jan 2018; 84.3% physical progress by June 2024; inaugurated 16 Oct 2024 ≈ 6.7 years. Large dams worldwide run 44% over schedule on average.</t>
        </is>
      </c>
      <c r="K50" s="11" t="inlineStr">
        <is>
          <t>BWSSB plans to draw 500 MLD water under Cauvery 6th phase (Deccan Herald, 2025): Chairman: project 'will be completed in three years from the date of government approval' https://www.deccanherald.com/india/karnataka/bengaluru/bwssb-plans-to-draw-500-mld-water-under-cauvery-6th-phase-3364603</t>
        </is>
      </c>
      <c r="L50" s="11" t="inlineStr">
        <is>
          <t>Lok Sabha USQ 1686 annex (Lok Sabha, 2024): BWSSP Ph3 Tranche I JPY 45.0 bn (~₹2,586 cr) signed 24 Jan 2018, physical progress 84.3% by Jun 2024; Tranche II JPY 37.068 bn (₹2,422.74 cr) https://sansad.in/getFile/loksabhaquestions/annex/182/AU1686_Lh56lr.pdf?source=pqals</t>
        </is>
      </c>
      <c r="M50" s="11" t="inlineStr">
        <is>
          <t>Unveiling of the JICA-funded 5th stage of Cauvery Water Supply Scheme (JICA, 2024): Stage V: JPY 81,060 mn ≈ ₹4,336 cr; JICA loans to BWSSB over 30 years total JPY 179,867 mn ≈ over ₹10,000 cr https://www.jica.go.jp/english/overseas/india/information/press/2024/1553733_53431.html</t>
        </is>
      </c>
      <c r="N50" s="11" t="inlineStr">
        <is>
          <t>Should we build more large dams? The actual costs of hydropower megaproject development (Energy Policy (Ansar, Flyvbjerg et al.), 2014): Large dams: actual costs on average 96% above estimates (median 27%); schedules on average 44% longer https://arxiv.org/pdf/1409.0002</t>
        </is>
      </c>
    </row>
    <row r="51">
      <c r="A51" s="11" t="inlineStr">
        <is>
          <t>pf_life_yrs</t>
        </is>
      </c>
      <c r="B51" s="11" t="inlineStr">
        <is>
          <t>Stage VI project finance</t>
        </is>
      </c>
      <c r="C51" s="11" t="inlineStr">
        <is>
          <t>Operating life recovered</t>
        </is>
      </c>
      <c r="D51" s="11" t="n">
        <v>40</v>
      </c>
      <c r="E51" s="11" t="n">
        <v>30</v>
      </c>
      <c r="F51" s="11" t="n">
        <v>50</v>
      </c>
      <c r="G51" s="11" t="inlineStr">
        <is>
          <t>yr</t>
        </is>
      </c>
      <c r="H51" s="11" t="inlineStr">
        <is>
          <t>assumed</t>
        </is>
      </c>
      <c r="I51" s="11" t="inlineStr">
        <is>
          <t>The capital is recovered over the years the scheme is expected to work. Pipelines are depreciated over 30 years in company accounts, while treatment plant civil works are designed for 50.</t>
        </is>
      </c>
      <c r="J51" s="11" t="inlineStr">
        <is>
          <t>Pumps and electrical equipment last ~15 years and would need replacing within the period; that renewal is not in the project model, so a long life flatters the tariff.</t>
        </is>
      </c>
      <c r="K51" s="11" t="inlineStr">
        <is>
          <t>Companies Act 2013, Schedule II (useful lives) (CAIRR / Ministry of Corporate Affairs text, 2026): Pipelines 30 years; Gas storage and distribution plant 30 years; Water distribution plant including pipelines: same (30 years) https://ca2013.com/schedule/schedule-ii</t>
        </is>
      </c>
      <c r="L51" s="11" t="inlineStr">
        <is>
          <t>Performance audit of water supply (Goa), Chapter 2 (CAG, 2014): Per JICA report, design life of the water treatment plant is 50 years and 15 years for mechanical and electrical equipment https://cag.gov.in/uploads/download_audit_report/2014/Goa_Civil_2014_chap_2.pdf</t>
        </is>
      </c>
      <c r="M51" s="11" t="inlineStr">
        <is>
          <t>CERC RE Tariff Regulations, 2024 (summary) (ctrlperiod.com, 2024): Useful life by technology: small hydro 40 years; wind 25 years https://ctrlperiod.com/orders/cerc-re-tariff-regulations-2024</t>
        </is>
      </c>
    </row>
    <row r="52">
      <c r="A52" s="11" t="inlineStr">
        <is>
          <t>power_rs_kl</t>
        </is>
      </c>
      <c r="B52" s="11" t="inlineStr">
        <is>
          <t>Stage VI project finance</t>
        </is>
      </c>
      <c r="C52" s="11" t="inlineStr">
        <is>
          <t>Power cost per kL delivered</t>
        </is>
      </c>
      <c r="D52" s="11" t="n">
        <v>12.8</v>
      </c>
      <c r="E52" s="11" t="n">
        <v>8.9</v>
      </c>
      <c r="F52" s="11" t="n">
        <v>12.8</v>
      </c>
      <c r="G52" s="11" t="inlineStr">
        <is>
          <t>₹/kL</t>
        </is>
      </c>
      <c r="H52" s="11" t="inlineStr">
        <is>
          <t>derived</t>
        </is>
      </c>
      <c r="I52" s="11" t="inlineStr">
        <is>
          <t>BWSSB estimates Stage VI's power bill at ₹19.13 crore a month on grid power, or ₹13.35 crore with solar. At 500 MLD that is ₹12.8 or ₹8.9 per kilolitre.</t>
        </is>
      </c>
      <c r="J52" s="11" t="inlineStr">
        <is>
          <t>Arithmetic: ₹19.13 cr ÷ (500 MLD × 30 days = 15 million kL) = ₹12.75/kL; ₹13.35 cr ÷ 15 million kL = ₹8.90/kL. BWSSB's figure is a pro-rata of the Stage I-V bill (₹86.07 cr/month for 2,250 MLD), not a design calculation, and assumes the HT-1 tariff frozen to FY28.</t>
        </is>
      </c>
      <c r="K52" s="11" t="inlineStr">
        <is>
          <t>BWSSB plans solar-powered upgrade for Cauvery Stage 6 (Bangalore Mirror, 2025): Stages 1-5 power ~₹86.07 cr/month; Stage 6 (500 MLD) ₹19.13 cr/month on grid, ₹13.35 cr with solar; '₹5,177 crore DPR' https://bangaloremirror.indiatimes.com/bangalore/others/bwssb-plans-solar-powered-upgrade-for-cauvery-stage-6/articleshow/124278554.cms</t>
        </is>
      </c>
      <c r="L52" s="11" t="inlineStr">
        <is>
          <t>KERC Tariff Order 2025, Annexure-9 (HT-1 water supply) (KERC / BESCOM, 2025): HT-1 water supply: demand ₹340/kVA/month; energy 625 paise/kWh, unchanged for FY26, FY27 and FY28 https://bescom.karnataka.gov.in/storage/pdf-files/Customer%20Relations/TariffOrder-2025Annexure-9.pdf</t>
        </is>
      </c>
      <c r="M52" s="11" t="inlineStr">
        <is>
          <t>KERC generic tariff for solar projects (1 Jul 2025 - 30 Jun 2026) (KERC, 2025): MW-scale solar benchmark tariff ₹3.04/unit; solar with battery storage ₹5.66/unit https://kerc.karnataka.gov.in/uploads/media_to_upload1752057190.pdf</t>
        </is>
      </c>
    </row>
    <row r="53">
      <c r="A53" s="11" t="inlineStr">
        <is>
          <t>fixed_cr_yr</t>
        </is>
      </c>
      <c r="B53" s="11" t="inlineStr">
        <is>
          <t>Stage VI project finance</t>
        </is>
      </c>
      <c r="C53" s="11" t="inlineStr">
        <is>
          <t>Staff, chemicals and repairs (fixed O&amp;M)</t>
        </is>
      </c>
      <c r="D53" s="11" t="n">
        <v>46</v>
      </c>
      <c r="E53" s="11" t="n">
        <v>46</v>
      </c>
      <c r="F53" s="11" t="n">
        <v>46</v>
      </c>
      <c r="G53" s="11" t="inlineStr">
        <is>
          <t>₹ cr/yr</t>
        </is>
      </c>
      <c r="H53" s="11" t="inlineStr">
        <is>
          <t>assumed</t>
        </is>
      </c>
      <c r="I53" s="11" t="inlineStr">
        <is>
          <t>Besides power, a scheme needs staff, chemicals and repairs. ₹46 crore a year is about ₹2.5 per kilolitre at full flow, or 0.7% of the capital cost, in line with Indian O&amp;M contracts.</t>
        </is>
      </c>
      <c r="J53" s="11" t="inlineStr">
        <is>
          <t>Arithmetic: ₹46 cr ÷ (500 × 365,000 kL) = ₹2.52/kL; ₹46 cr ÷ ₹6,939 cr = 0.66%. Benchmarks are weak: a Chennai 530 MLD WTP O&amp;M contract was only ~₹0.33/kL (2007, possibly excluding chemicals); a sewerage tender put non-power O&amp;M at 0.90% of capex; the rural O&amp;M manual's 5-20% of capex includes power. No published O&amp;M figure for Stage V was found.</t>
        </is>
      </c>
      <c r="K53" s="11" t="inlineStr">
        <is>
          <t>CMWSSB presentation to MoHUA (CMWSSB / MoHUA, 2013): Chembarambakkam 530 MLD WTP: O&amp;M contract ₹45 cr over 7 years (≈₹0.33/kL, power and chemicals possibly excluded) https://www.mohua.gov.in/upload/uploadfiles/files/CMWSSB_Chennai_PPT_0.pdf</t>
        </is>
      </c>
      <c r="L53" s="11" t="inlineStr">
        <is>
          <t>Sewerage scheme NIT, Saugor Cantonment (Cantonment Board Sagar, 2025): Total O&amp;M cost per annum excluding electricity ₹64.83 lakh = 0.90% of tender cost https://saugor.cantt.gov.in/wp-content/uploads/sites/44/2025/07/SewerNIT.pdf</t>
        </is>
      </c>
      <c r="M53" s="11" t="inlineStr">
        <is>
          <t>Operation and Maintenance Manual for Rural Water Supplies (Ministry of Drinking Water and Sanitation, 2013): Recurring operating expenditure (labour, fuel, chemicals, materials, bulk water): 5% to 20% of capital investment https://jaljeevanmission.gov.in/sites/default/files/guideline/Manual_for_Operation_and_Maintenance_of_Rural_Water_Supply_Scheme.pdf</t>
        </is>
      </c>
    </row>
    <row r="54">
      <c r="A54" s="11" t="inlineStr">
        <is>
          <t>insurance</t>
        </is>
      </c>
      <c r="B54" s="11" t="inlineStr">
        <is>
          <t>Stage VI project finance</t>
        </is>
      </c>
      <c r="C54" s="11" t="inlineStr">
        <is>
          <t>Insurance</t>
        </is>
      </c>
      <c r="D54" s="11" t="n">
        <v>0.004</v>
      </c>
      <c r="E54" s="11" t="n">
        <v>0.002</v>
      </c>
      <c r="F54" s="11" t="n">
        <v>0.008999999999999999</v>
      </c>
      <c r="G54" s="11" t="inlineStr">
        <is>
          <t>share of capex per yr</t>
        </is>
      </c>
      <c r="H54" s="11" t="inlineStr">
        <is>
          <t>assumed</t>
        </is>
      </c>
      <c r="I54" s="11" t="inlineStr">
        <is>
          <t>Large plants and pipelines are insured against floods, fire and breakdown. Indian regulators allow something like 0.5-1% of asset value for insurance or self-insurance.</t>
        </is>
      </c>
      <c r="J54" s="11" t="inlineStr">
        <is>
          <t>CERC allows a self-insurance reserve of 0.9% of gross fixed assets for AC transmission; a generator asked for 0.5% for insurance and other items; KERC's solar O&amp;M of 1% includes insurance. Buried pipelines are cheaper to insure than plant, which supports a lower figure; no water-sector benchmark was found.</t>
        </is>
      </c>
      <c r="K54" s="11" t="inlineStr">
        <is>
          <t>Statement of Reasons, CERC Tariff Regulations 2019 (CERC, 2019): 'self-insurance reserve at 0.9% of the gross fixed asset value of AC transmission system' included in O&amp;M base https://cercind.gov.in/2019/regulation/SOR145.pdf</t>
        </is>
      </c>
      <c r="L54" s="11" t="inlineStr">
        <is>
          <t>Comments on draft CERC Tariff Regulations 2024 (Dhariwal Infrastructure (via CERC), 2024): Asks for O&amp;M at 2.5% of capital cost, of which '0.5% should be allocated towards insurance cost, additional water consumption and gypsum handling' https://www.cercind.gov.in/2024/draft_reg/Comments-4SM2024/Dhariwal%20Infrastructure%20Limited.pdf</t>
        </is>
      </c>
      <c r="M54" s="11" t="inlineStr">
        <is>
          <t>KERC fixes rate for solar power sale to grid (New Indian Express, 2026): KERC adopted O&amp;M expenses (incl. insurance) as 1% of capital cost with 5.72% annual escalation https://www.newindianexpress.com/states/karnataka/2026/Aug/27/karnataka-electricity-regulatory-commission-fixes-rate-for-solar-power-sale-to-grid</t>
        </is>
      </c>
    </row>
    <row r="55">
      <c r="A55" s="11" t="inlineStr">
        <is>
          <t>inr_jpy_dep</t>
        </is>
      </c>
      <c r="B55" s="11" t="inlineStr">
        <is>
          <t>Stage VI project finance</t>
        </is>
      </c>
      <c r="C55" s="11" t="inlineStr">
        <is>
          <t>Expected yearly fall of the rupee against the yen</t>
        </is>
      </c>
      <c r="D55" s="11" t="n">
        <v>0.035</v>
      </c>
      <c r="E55" s="11" t="n">
        <v>0.015</v>
      </c>
      <c r="F55" s="11" t="n">
        <v>0.045</v>
      </c>
      <c r="G55" s="11" t="inlineStr">
        <is>
          <t>per yr</t>
        </is>
      </c>
      <c r="H55" s="11" t="inlineStr">
        <is>
          <t>derived</t>
        </is>
      </c>
      <c r="I55" s="11" t="inlineStr">
        <is>
          <t>JICA lends in yen; Karnataka repays in rupees. Interest parity (India 10-yr 7.39% against Japan 2.82%) implies the rupee falls about 4.4% a year against the yen; history since 2018 shows only about 0.6% a year. 3.5% is used: below parity because markets tend to overstate the slide, well above history because the path is volatile.</t>
        </is>
      </c>
      <c r="J55" s="11" t="inlineStr">
        <is>
          <t>Interest parity: 1.07389 / 1.02821 - 1 = 4.4%/yr at 10 years; at 30 years (G-sec 7.89%, JGB ~3.94%) it is 3.8%. History: ₹57.5 per ¥100 at the Jan 2018 signing (JPY 45 bn = ₹2,586 cr) vs ₹60.45 on 30 Oct 2026 = 0.6%/yr; but in Mar 2022 it was ₹65.4 per ¥100 (JPY 37.068 bn = ₹2,422.74 cr), so the path is volatile. The 5.8% upper value assumed a JGB yield near 1.6%, which is now stale.</t>
        </is>
      </c>
      <c r="K55" s="11" t="inlineStr">
        <is>
          <t>Lok Sabha USQ 1686 annex (Lok Sabha, 2024): BWSSP Ph3 Tranche I JPY 45.0 bn (~₹2,586 cr) signed 24 Jan 2018, physical progress 84.3% by Jun 2024; Tranche II JPY 37.068 bn (₹2,422.74 cr) https://sansad.in/getFile/loksabhaquestions/annex/182/AU1686_Lh56lr.pdf?source=pqals</t>
        </is>
      </c>
      <c r="L55" s="11" t="inlineStr">
        <is>
          <t>JPY to INR exchange rate history for 2026 (exchange-rates.org, 2026): 1 JPY ≈ ₹0.60-0.61 in October 2026; 2026 average ₹0.5939; yen up 5.14% vs rupee in 2026 https://www.exchange-rates.org/exchange-rate-history/jpy-inr-2026</t>
        </is>
      </c>
      <c r="M55" s="11" t="inlineStr">
        <is>
          <t>India 10-year bond yield, historical data (Investing.com, 2026): 10-yr G-sec closed 7.389% on 29 Oct 2026 https://www.investing.com/rates-bonds/india-10-year-bond-yield-historical-data</t>
        </is>
      </c>
      <c r="N55" s="11" t="inlineStr">
        <is>
          <t>Japan 10-year bond historical data (Investing.com, 2026): 10-yr JGB closed 2.821% on 29 Oct 2026 (October range 2.76-3.12%) https://www.investing.com/rates-bonds/japan-10-year-bond-yield-historical-data</t>
        </is>
      </c>
    </row>
    <row r="56">
      <c r="A56" s="11" t="inlineStr">
        <is>
          <t>tax</t>
        </is>
      </c>
      <c r="B56" s="11" t="inlineStr">
        <is>
          <t>Stage VI project finance</t>
        </is>
      </c>
      <c r="C56" s="11" t="inlineStr">
        <is>
          <t>Corporate tax on a private SPV</t>
        </is>
      </c>
      <c r="D56" s="11" t="n">
        <v>0.2517</v>
      </c>
      <c r="E56" s="11" t="n">
        <v>0.2517</v>
      </c>
      <c r="F56" s="11" t="n">
        <v>0.2517</v>
      </c>
      <c r="G56" s="11" t="inlineStr">
        <is>
          <t>share of profit</t>
        </is>
      </c>
      <c r="H56" s="11" t="inlineStr">
        <is>
          <t>sourced</t>
        </is>
      </c>
      <c r="I56" s="11" t="inlineStr">
        <is>
          <t>A private company building Stage VI would pay India's concessional corporate tax: 22% plus surcharge and cess, or 25.17%.</t>
        </is>
      </c>
      <c r="J56" s="11" t="inlineStr">
        <is>
          <t>22% × 1.10 × 1.04 = 25.168%. Slider bounds: 17.16% (s.115BAB, manufacturing only) and 34.94% (old regime, top surcharge).</t>
        </is>
      </c>
      <c r="K56" s="11" t="inlineStr">
        <is>
          <t>Rajya Sabha USQ 233: corporate tax rate (Ministry of Finance, 2025): Section 115BAA: 22% (effective rate 25.17% including surcharge and cess) https://sansad.in/getFile/annex/268/AU233_Oa9jwG.pdf?source=pqars</t>
        </is>
      </c>
      <c r="L56" s="11" t="inlineStr">
        <is>
          <t>Tax rates and computation (Income Tax Department, 2026): Concessional rate of 22% (plus 10% surcharge and 4% cess; effective rate 25.17%) https://www.incometaxindia.gov.in/w/tax-rates-and-computation</t>
        </is>
      </c>
      <c r="M56" s="11" t="inlineStr">
        <is>
          <t>Assessment of various entities (ICAI (Board of Studies), 2022): Section 115BAA effective rate 25.168% [tax 22% + surcharge 10% + HEC 4%] https://live.icai.org/bos/vcc/pdf/Assessment_of_various_entities_2.pdf</t>
        </is>
      </c>
    </row>
    <row r="57">
      <c r="A57" s="11" t="inlineStr">
        <is>
          <t>bond_rate</t>
        </is>
      </c>
      <c r="B57" s="11" t="inlineStr">
        <is>
          <t>Stage VI project finance</t>
        </is>
      </c>
      <c r="C57" s="11" t="inlineStr">
        <is>
          <t>Municipal or revenue bond coupon</t>
        </is>
      </c>
      <c r="D57" s="11" t="n">
        <v>0.09</v>
      </c>
      <c r="E57" s="11" t="n">
        <v>0.08500000000000001</v>
      </c>
      <c r="F57" s="11" t="n">
        <v>0.095</v>
      </c>
      <c r="G57" s="11" t="inlineStr">
        <is>
          <t>nominal, per yr</t>
        </is>
      </c>
      <c r="H57" s="11" t="inlineStr">
        <is>
          <t>derived</t>
        </is>
      </c>
      <c r="I57" s="11" t="inlineStr">
        <is>
          <t>Indian city bonds price 1-2 percentage points above the government's 10-year rate, now 7.4%. A first-time, large BWSSB bond would likely pay about 9%.</t>
        </is>
      </c>
      <c r="J57" s="11" t="inlineStr">
        <is>
          <t>7.39% + 100-200 bp = 8.4-9.4%. Recent issues paid 7.65-8.50%, but yields have risen since and BWSSB has never issued under SEBI's rules.</t>
        </is>
      </c>
      <c r="K57" s="11" t="inlineStr">
        <is>
          <t>India 10-year bond yield, historical data (Investing.com, 2026): 10-yr G-sec closed 7.389% on 29 Oct 2026 https://www.investing.com/rates-bonds/india-10-year-bond-yield-historical-data</t>
        </is>
      </c>
      <c r="L57" s="11" t="inlineStr">
        <is>
          <t>Municipal bonds statistics (SEBI, 2026): 2025-26 municipal coupons 7.65-8.50% (e.g. Tiruppur 8.50%, Coimbatore 8.29%, Nashik 8.05%) https://www.sebi.gov.in/statistics/municipalbonds.html</t>
        </is>
      </c>
      <c r="M57" s="11" t="inlineStr">
        <is>
          <t>New Avenues for Municipal Finances (MoHUA, 2026): Coupons ran 132-157 bp over the 10-yr G-sec (Pune 2017, GHMC 2018) https://www.mohua.gov.in/static/uploads/2026/09/946129ab10abc3452b80e72edb4a74a1.pdf</t>
        </is>
      </c>
      <c r="N57" s="11" t="inlineStr">
        <is>
          <t>Municipal bonds special comment (ICRA, 2025): Coupons typically 100-200 bp over GoI yields https://www.icra.in/Rating/DownloadResearchSpecialCommentReportViewer/6211</t>
        </is>
      </c>
    </row>
    <row r="58">
      <c r="A58" s="11" t="inlineStr">
        <is>
          <t>ham_rate</t>
        </is>
      </c>
      <c r="B58" s="11" t="inlineStr">
        <is>
          <t>Stage VI project finance</t>
        </is>
      </c>
      <c r="C58" s="11" t="inlineStr">
        <is>
          <t>Hybrid annuity interest rate</t>
        </is>
      </c>
      <c r="D58" s="11" t="n">
        <v>0.08749999999999999</v>
      </c>
      <c r="E58" s="11" t="n">
        <v>0.08749999999999999</v>
      </c>
      <c r="F58" s="11" t="n">
        <v>0.08749999999999999</v>
      </c>
      <c r="G58" s="11" t="inlineStr">
        <is>
          <t>nominal, per yr</t>
        </is>
      </c>
      <c r="H58" s="11" t="inlineStr">
        <is>
          <t>derived</t>
        </is>
      </c>
      <c r="I58" s="11" t="inlineStr">
        <is>
          <t>Under the hybrid annuity model the government repays the builder's 60% share in instalments, with interest at the RBI bank rate plus 3%. With the bank rate at 5.75%, that is 8.75%.</t>
        </is>
      </c>
      <c r="J58" s="11" t="inlineStr">
        <is>
          <t>5.75% + 3% = 8.75%. NHAI's model concession uses Bank Rate + 3%; Namami Gange STP concessions use 'Bank rate + x%' and the exact spread was not found. The rate floats with the bank rate.</t>
        </is>
      </c>
      <c r="K58" s="11" t="inlineStr">
        <is>
          <t>NHAI HAM project (concession) agreement (NHAI, 2018): Annuity interest on reducing balance at Bank Rate + 3% https://nhai.gov.in/nhai/sites/default/files/project_agreement/N0700601001RJ.pdf</t>
        </is>
      </c>
      <c r="L58" s="11" t="inlineStr">
        <is>
          <t>RBI Monetary Policy Statement, 7 Oct 2026 (RBI, 2026): Repo 5.50%; SDF 5.25%; MSF rate and Bank Rate 5.75% https://m.rbi.org.in/Scripts/BS_PressReleaseDisplay.aspx?prid=63403</t>
        </is>
      </c>
      <c r="M58" s="11" t="inlineStr">
        <is>
          <t>Hybrid Annuity Model for sanitation (CEPT PAS, 2018): 40% of capex paid during construction; 60% as annuity over 15 years with interest at 'Bank rate + x%' on reducing balance https://www.pas.org.in/Portal/document/UrbanSanitation/uploads/Hybrid%20Annuity%20Model%20for%20Sanitation%20April%2023%202018.pdf</t>
        </is>
      </c>
    </row>
    <row r="59">
      <c r="A59" s="11" t="inlineStr">
        <is>
          <t>ppp_equity</t>
        </is>
      </c>
      <c r="B59" s="11" t="inlineStr">
        <is>
          <t>Stage VI project finance</t>
        </is>
      </c>
      <c r="C59" s="11" t="inlineStr">
        <is>
          <t>Private equity return (after tax)</t>
        </is>
      </c>
      <c r="D59" s="11" t="n">
        <v>0.15</v>
      </c>
      <c r="E59" s="11" t="n">
        <v>0.14</v>
      </c>
      <c r="F59" s="11" t="n">
        <v>0.16</v>
      </c>
      <c r="G59" s="11" t="inlineStr">
        <is>
          <t>post-tax nominal IRR</t>
        </is>
      </c>
      <c r="H59" s="11" t="inlineStr">
        <is>
          <t>assumed</t>
        </is>
      </c>
      <c r="I59" s="11" t="inlineStr">
        <is>
          <t>A private investor taking construction and demand risk would want about 15% a year after tax, similar to what Indian regulators allow on equity in power (15.5%).</t>
        </is>
      </c>
      <c r="J59" s="11" t="inlineStr">
        <is>
          <t>No published equity IRR for Indian water HAM/PPP projects was found; regulated returns are used as a proxy (CERC 15.5%, PNGRB 12% post-tax; renewables ~12%). Water carries more demand and payment risk than a regulated grid asset, so 15% is a ceiling-case assumption. The model grosses it up to ~20% pre-tax.</t>
        </is>
      </c>
      <c r="K59" s="11" t="inlineStr">
        <is>
          <t>CERC order in Petition 876/TT/2025 (quoting Tariff Regulations 2024, Reg. 30) (CERC, 2026): Base return on equity 15.50% (post-tax) for transmission/thermal, grossed up for tax https://cercind.gov.in/2026/Orders/876-TT-2025.pdf</t>
        </is>
      </c>
      <c r="L59" s="11" t="inlineStr">
        <is>
          <t>PNGRB tariff order, 16 Apr 2025 (PNGRB, 2025): 12% post-tax return on capital employed for pipelines (pre-tax 16.04% at 25.17% tax) https://www.pngrb.gov.in/pdf/orders/20250416_TariffOrder.pdf</t>
        </is>
      </c>
      <c r="M59" s="11" t="inlineStr">
        <is>
          <t>Renewable energy assets in India: a project finance perspective (IEEFA, 2022): 'From a must-have 18% threshold, the ROE expected now hovers around the 12% mark' https://ieefa.org/resources/renewable-energy-assets-india-project-finance-perspective</t>
        </is>
      </c>
    </row>
    <row r="60">
      <c r="A60" s="11" t="inlineStr">
        <is>
          <t>ngt_cr_mld</t>
        </is>
      </c>
      <c r="B60" s="11" t="inlineStr">
        <is>
          <t>The river, the lakes and the catchment</t>
        </is>
      </c>
      <c r="C60" s="11" t="inlineStr">
        <is>
          <t>NGT environmental compensation for untreated sewage</t>
        </is>
      </c>
      <c r="D60" s="11" t="n">
        <v>2</v>
      </c>
      <c r="E60" s="11" t="n">
        <v>2</v>
      </c>
      <c r="F60" s="11" t="n">
        <v>2</v>
      </c>
      <c r="G60" s="11" t="inlineStr">
        <is>
          <t>₹ cr per MLD of gap</t>
        </is>
      </c>
      <c r="H60" s="11" t="inlineStr">
        <is>
          <t>sourced</t>
        </is>
      </c>
      <c r="I60" s="11" t="inlineStr">
        <is>
          <t>The National Green Tribunal fined states ₹2 crore for every million litres a day of sewage they fail to treat. In October 2022 it applied this to Karnataka's 1,427 MLD gap, giving ₹2,856 crore.</t>
        </is>
      </c>
      <c r="J60" s="11" t="inlineStr">
        <is>
          <t>The rate is a one-off compensation for past failure; the NGT did not say what period it covers. The model treats it as one year of damage (₹2 cr / 365,000 kL ≈ ₹55 per kL untreated), which is an interpretation. CPCB's separate formula builds compensation from STP capital (₹1.75 cr/MLD) plus conveyance (₹5.55 cr/MLD) plus 10% O&amp;M.</t>
        </is>
      </c>
      <c r="K60" s="11" t="inlineStr">
        <is>
          <t>NGT imposes environmental compensation of Rs 2,900 cr on K'taka (DTNext / ANI, 2022): Order of 13 Oct 2022 (OA 606/2018): sewage treatment gap 1,427.4 MLD; 'compensation works out to Rs. 2856/- crores' https://www.dtnext.in/news/national/ngt-imposes-environmental-compensation-of-rs-2900-cr-on-ktaka</t>
        </is>
      </c>
      <c r="L60" s="11" t="inlineStr">
        <is>
          <t>NGT has imposed a fine of about 80,000 crore so far on states (Down To Earth, 2023): Fine fixed at Rs 2 crore per MLD for liquid waste and Rs 300 per tonne of solid waste; Karnataka ₹3,400 cr https://www.downtoearth.org.in/waste/ngt-has-imposed-a-fine-of-about-80-000-crore-so-far-on-states-for-not-disposing-of-sewage-and-garbage-90449</t>
        </is>
      </c>
      <c r="M60" s="11" t="inlineStr">
        <is>
          <t>Compliance of MSW Rules (OA 606/2018), order of 19 May 2023 (NGT via Indian Kanoon, 2023): Compensation 'on the scale of Rs. 2 crore per MLD for gap in respect of liquid waste'; 'worked out in the light of scientific studies and cost of remediation' https://indiankanoon.org/doc/5883219</t>
        </is>
      </c>
      <c r="N60" s="11" t="inlineStr">
        <is>
          <t>NGT Central Zone order (CPCB environmental compensation method) (NGT, 2024): CPCB method assumes STP capital ₹1.75 cr/MLD, conveyance ₹5.55 cr/MLD and annual O&amp;M at 10% of combined capital https://www.greentribunal.gov.in/gen_pdf_test.php?filepath=L25ndF9kb2N1bWVudHMvbmd0L2Nhc2Vkb2MvanVkZ2VtZW50cy9CSE9QQUwvMjAyNC0wNC0wOC8xNzEyNTY5NzY1Njg4MjQ2NTE2NjYxM2JkYTU3MWVmYy5wZGY%3D</t>
        </is>
      </c>
    </row>
    <row r="61">
      <c r="A61" s="11" t="inlineStr">
        <is>
          <t>catchment_rs_kl</t>
        </is>
      </c>
      <c r="B61" s="11" t="inlineStr">
        <is>
          <t>The river, the lakes and the catchment</t>
        </is>
      </c>
      <c r="C61" s="11" t="inlineStr">
        <is>
          <t>Keeping the Cauvery catchment working</t>
        </is>
      </c>
      <c r="D61" s="11" t="n">
        <v>2</v>
      </c>
      <c r="E61" s="11" t="n">
        <v>1</v>
      </c>
      <c r="F61" s="11" t="n">
        <v>7</v>
      </c>
      <c r="G61" s="11" t="inlineStr">
        <is>
          <t>₹/kL drawn</t>
        </is>
      </c>
      <c r="H61" s="11" t="inlineStr">
        <is>
          <t>assumed</t>
        </is>
      </c>
      <c r="I61" s="11" t="inlineStr">
        <is>
          <t>Cities that protect the land their water comes from pay for it: Quito sets aside 2% of its water utility's budget, and New York spends about ₹6-7 per kilolitre. Bengaluru pays nothing today, so ₹2 is a modest middle.</t>
        </is>
      </c>
      <c r="J61" s="11" t="inlineStr">
        <is>
          <t>Arithmetic: NYC $2.9 bn over ~32 years (since 1993) ≈ $91 m/yr ÷ (1,006 MGD × 3,785 m³ × 365 = 1.39 bn m³) ≈ $0.065/m³ ≈ ₹6.2/kL (₹7.1 if counted from 1997). Quito-style 2% of BWSSB opex: ₹2,873 cr × 2% = ₹57 cr ÷ 693.5 Mm³ (1,900 MLD) ≈ ₹0.8/kL. Cauvery Calling: 242 crore trees × ₹42 = ₹10,164 cr; if Bengaluru alone paid it over 20 years ≈ ₹7.3/kL. NYC's spending avoided a filtration plant 'that could cost $10 billion or more' (DEP 2010). No study values the KRS catchment specifically.</t>
        </is>
      </c>
      <c r="K61" s="11" t="inlineStr">
        <is>
          <t>Filtration Avoidance Annual Report 2024 (NYC DEP, 2025): 'DEP has spent or committed more than $2.9 billion' on watershed programmes https://www.nyc.gov/assets/dep/downloads/pdf/about/filtration-avoidance-determination/2024_fad_annual.pdf</t>
        </is>
      </c>
      <c r="L61" s="11" t="inlineStr">
        <is>
          <t>Mayor's Management Report FY2026: Department of Environmental Protection (City of New York, 2026): Average daily in-City water consumption 1,006 million gallons (FY26) https://www.nyc.gov/assets/operations/downloads/pdf/mmr2026/dep.pdf</t>
        </is>
      </c>
      <c r="M61" s="11" t="inlineStr">
        <is>
          <t>Water Funds: conserving green infrastructure for source water protection (Land Conservation Network / TNC, 2022): FONAG: annual budget about US$2 million; Quito's water company 'is required to contribute two percent of the water company's annual budget' (87% of funding) https://landconservationnetwork.org/wp-content/uploads/2022/08/Water20Funds_Updated_0303222028229-1.pdf</t>
        </is>
      </c>
      <c r="N61" s="11" t="inlineStr">
        <is>
          <t>How is the Rupees 42 per tree going to be spent (Isha Foundation (Cauvery Calling), 2019): Cauvery Calling: 'support farmers to plant 242 crore trees'; average cost Rs 42 per sapling https://isha.sadhguru.org/en/wisdom/article/rupees-42-per-tree-spent-cauvery-calling</t>
        </is>
      </c>
    </row>
    <row r="62">
      <c r="A62" s="11" t="inlineStr">
        <is>
          <t>basin_loss</t>
        </is>
      </c>
      <c r="B62" s="11" t="inlineStr">
        <is>
          <t>The river, the lakes and the catchment</t>
        </is>
      </c>
      <c r="C62" s="11" t="inlineStr">
        <is>
          <t>Share of the city's sewage that drains out of the Cauvery basin</t>
        </is>
      </c>
      <c r="D62" s="11" t="n">
        <v>0.6</v>
      </c>
      <c r="E62" s="11" t="n">
        <v>0.5</v>
      </c>
      <c r="F62" s="11" t="n">
        <v>0.7</v>
      </c>
      <c r="G62" s="11" t="inlineStr">
        <is>
          <t>share</t>
        </is>
      </c>
      <c r="H62" s="11" t="inlineStr">
        <is>
          <t>assumed</t>
        </is>
      </c>
      <c r="I62" s="11" t="inlineStr">
        <is>
          <t>Bengaluru drains through three valleys. The Hebbal and Koramangala–Challaghatta valleys flow east to the Dakshina Pinakini (South Pennar) and the Kolar tanks, outside the Cauvery basin. The Vrishabhavathi valley flows to the Arkavathy and back into the Cauvery. The Vrishabhavathi share of sewage is roughly a third to 40%, so about 60% of the draw is lost to the basin.</t>
        </is>
      </c>
      <c r="J62" s="11" t="inlineStr">
        <is>
          <t>The valley split of sewage is approximate; no official figure was found. The polluted return flow through the Arkavathy is covered by the cost of treating sewage, not by this line.</t>
        </is>
      </c>
      <c r="K62" s="11" t="inlineStr">
        <is>
          <t>Wastewater management in a metropolis: Bengaluru case study (S. Vishwanath, Biome Environmental Trust (CSE), 2022): Three valleys (K&amp;C, Hebbal, Vrishabhavathi); treated water conveyed to Kolar, Chikkaballapur and V-Valley tanks https://cdn.cseindia.org/attachments/0.64097500_1670989641_wastewater-management-in-a-metropolis-(bengaluru-case-study)-by-s-vishwanath,-biome-environmental-trust.pdf</t>
        </is>
      </c>
      <c r="L62" s="11" t="inlineStr">
        <is>
          <t>How Bengaluru's domestic wastewater is helping parched Kolar (IndiaSpend, 2019): K-C Valley sends 440 MLD of treated sewage east to Kolar tanks https://www.indiaspend.com/how-bengalurus-domestic-wastewater-is-helping-parched-kolar</t>
        </is>
      </c>
      <c r="M62" s="11" t="inlineStr">
        <is>
          <t>Bengaluru urban water balance (WELL Labs, 2024): City water balance by valley, including outflows via Vrishabhavathi to the Arkavathy https://welllabs.org/wp-content/uploads/2024/03/Jan-2024_WELL-Labs-Bengaluru-Urban-Water-Balance-Report.pdf</t>
        </is>
      </c>
    </row>
    <row r="63">
      <c r="A63" s="11" t="inlineStr">
        <is>
          <t>raw_oc_rs_kl</t>
        </is>
      </c>
      <c r="B63" s="11" t="inlineStr">
        <is>
          <t>Scarcity and the river</t>
        </is>
      </c>
      <c r="C63" s="11" t="inlineStr">
        <is>
          <t>Value of Cauvery water to downstream farms</t>
        </is>
      </c>
      <c r="D63" s="11" t="n">
        <v>4</v>
      </c>
      <c r="E63" s="11" t="n">
        <v>2</v>
      </c>
      <c r="F63" s="11" t="n">
        <v>11</v>
      </c>
      <c r="G63" s="11" t="inlineStr">
        <is>
          <t>₹/kL drawn</t>
        </is>
      </c>
      <c r="H63" s="11" t="inlineStr">
        <is>
          <t>derived</t>
        </is>
      </c>
      <c r="I63" s="11" t="inlineStr">
        <is>
          <t>Bengaluru's draw is a kL that Cauvery farmers downstream cannot use, at least for the share that leaves the basin. Paddy grown with that water in the delta is worth about ₹11 gross in a normal year; after costs, about ₹2–5. In drought years it is worth far more, so the range runs to ₹11.</t>
        </is>
      </c>
      <c r="J63" s="11" t="inlineStr">
        <is>
          <t>0.48 kg/m³ × ₹23.69/kg = ₹11.4/m³ gross (our calculation); a 20-40% net margin gives ₹2-5. No peer-reviewed Cauvery-delta value of water was found.</t>
        </is>
      </c>
      <c r="K63" s="11" t="inlineStr">
        <is>
          <t>Water productivity of paddy, Tamil Nadu (Madras Agricultural Journal, 2009): 0.48 kg rice per m³ of water https://masujournal.org/store_file/archive/96-7-12-353-355.pdf</t>
        </is>
      </c>
      <c r="L63" s="11" t="inlineStr">
        <is>
          <t>Centre raises paddy MSP to ₹2,369/quintal for 2025-26 (Deccan Herald, 2025): Paddy MSP ₹2,369 per quintal https://www.deccanherald.com/business/centre-raises-paddy-msp-by-rs-69-to-rs-2369-per-quintal-for-2025-26-3560683</t>
        </is>
      </c>
      <c r="M63" s="11" t="inlineStr">
        <is>
          <t>India Water Resource Report (ICRIER, 2019): Farm groundwater costs ₹2.1-2.8 per m³ in TN and Gujarat https://icrier.org/pdf/ICRIER_Water_Resource_Report_2019.pdf</t>
        </is>
      </c>
    </row>
    <row r="64">
      <c r="A64" s="11" t="inlineStr">
        <is>
          <t>lrmc_cr_mld</t>
        </is>
      </c>
      <c r="B64" s="11" t="inlineStr">
        <is>
          <t>Scarcity and the river</t>
        </is>
      </c>
      <c r="C64" s="11" t="inlineStr">
        <is>
          <t>Cost of the next source (Stage VI: ₹6,939 cr / 500 MLD)</t>
        </is>
      </c>
      <c r="D64" s="11" t="n">
        <v>13.9</v>
      </c>
      <c r="E64" s="11" t="n">
        <v>10.3</v>
      </c>
      <c r="F64" s="11" t="n">
        <v>16</v>
      </c>
      <c r="G64" s="11" t="inlineStr">
        <is>
          <t>₹ cr/MLD</t>
        </is>
      </c>
      <c r="H64" s="11" t="inlineStr">
        <is>
          <t>derived</t>
        </is>
      </c>
      <c r="I64" s="11" t="inlineStr">
        <is>
          <t>Cauvery Stage VI is budgeted at ₹6,939 crore for 500 MLD, about twice Stage V per MLD. It is used for the price signal in the top tariff block, not in the cost ladder.</t>
        </is>
      </c>
      <c r="J64" s="11" t="inlineStr">
        <is>
          <t>NIE (Aug 2026) puts Stage VI at 675 MLD, which would cut the rate to ~₹10.3 cr/MLD. Mekedatu (₹16,745 cr revised DPR) is multi-purpose and is not used.</t>
        </is>
      </c>
      <c r="K64" s="11" t="inlineStr">
        <is>
          <t>Karnataka Budget 2026-27, para 304 (Govt of Karnataka, 2026): Cauvery Phase VI ₹6,939 cr with JICA for 6 TMC https://cm.karnataka.gov.in/uploads/media_to_upload1772784239.pdf</t>
        </is>
      </c>
      <c r="L64" s="11" t="inlineStr">
        <is>
          <t>Bengaluru to draw more Cauvery water: Stage VI (Deccan Herald, 2025): ₹6,939 cr DPR for 500 MLD https://www.deccanherald.com/india/karnataka/bengaluru/bengaluru-to-draw-more-cauvery-water-cm-siddaramaiah-announces-sixth-phase-3235353</t>
        </is>
      </c>
      <c r="M64" s="11" t="inlineStr">
        <is>
          <t>BWSSB plans solar-powered upgrade for Cauvery Stage 6 (Bangalore Mirror, 2025): Cites a ₹5,177 cr DPR (KRS via Ramanagara bypass) https://bangaloremirror.indiatimes.com/bangalore/others/bwssb-plans-solar-powered-upgrade-for-cauvery-stage-6/articleshow/124278554.cms</t>
        </is>
      </c>
    </row>
    <row r="65">
      <c r="A65" s="11" t="inlineStr">
        <is>
          <t>gw_share</t>
        </is>
      </c>
      <c r="B65" s="11" t="inlineStr">
        <is>
          <t>Scarcity and the river</t>
        </is>
      </c>
      <c r="C65" s="11" t="inlineStr">
        <is>
          <t>Share of city demand met by groundwater</t>
        </is>
      </c>
      <c r="D65" s="11" t="n">
        <v>0.4</v>
      </c>
      <c r="E65" s="11" t="n">
        <v>0.15</v>
      </c>
      <c r="F65" s="11" t="n">
        <v>0.52</v>
      </c>
      <c r="G65" s="11" t="inlineStr">
        <is>
          <t>share</t>
        </is>
      </c>
      <c r="H65" s="11" t="inlineStr">
        <is>
          <t>reference</t>
        </is>
      </c>
      <c r="I65" s="11" t="inlineStr">
        <is>
          <t>Borewells and tankers fill the gap that Cauvery water leaves. WELL Labs' 2026 water balance puts groundwater at about 40% of demand; official figures are lower.</t>
        </is>
      </c>
      <c r="J65" s="11" t="inlineStr"/>
      <c r="K65" s="11" t="inlineStr">
        <is>
          <t>Why Bengaluru should reuse treated used water (WELL Labs, 2026): ~40% of demand met by groundwater https://welllabs.org/why-bengaluru-should-reuse-treated-used-water</t>
        </is>
      </c>
      <c r="L65" s="11" t="inlineStr">
        <is>
          <t>Bengaluru Urban Water Balance Report (WELL Labs, 2024): Groundwater ~52% of supply (Jan 2024 version) https://welllabs.org/wp-content/uploads/2024/03/Jan-2024_WELL-Labs-Bengaluru-Urban-Water-Balance-Report.pdf</t>
        </is>
      </c>
      <c r="M65" s="11" t="inlineStr">
        <is>
          <t>Bengaluru facing shortfall of 500 MLD: CM (New Indian Express, 2024): Need 2,600 MLD: 1,470 Cauvery + 650 borewells (~25%) https://www.newindianexpress.com/cities/bengaluru/2024/Mar/18/bengaluru-facing-shortfall-of-500-mld-water-karnataka-cm</t>
        </is>
      </c>
      <c r="N65" s="11" t="inlineStr">
        <is>
          <t>Water supply to core city ramped up (chairman interview) (New Indian Express, 2026): ~400 MLD from groundwater against 2,600 MLD need (~15%) https://www.newindianexpress.com/cities/bengaluru/2026/May/18/water-supply-to-core-city-ramped-up-pipeline-network-for-suburbs-under-way-bwssb-chairman</t>
        </is>
      </c>
    </row>
    <row r="66">
      <c r="A66" s="11" t="inlineStr">
        <is>
          <t>grid_ef</t>
        </is>
      </c>
      <c r="B66" s="11" t="inlineStr">
        <is>
          <t>Carbon</t>
        </is>
      </c>
      <c r="C66" s="11" t="inlineStr">
        <is>
          <t>Grid emission factor (CEA v22, FY26)</t>
        </is>
      </c>
      <c r="D66" s="11" t="n">
        <v>0.675</v>
      </c>
      <c r="E66" s="11" t="n">
        <v>0.512</v>
      </c>
      <c r="F66" s="11" t="n">
        <v>0.727</v>
      </c>
      <c r="G66" s="11" t="inlineStr">
        <is>
          <t>tCO₂/MWh</t>
        </is>
      </c>
      <c r="H66" s="11" t="inlineStr">
        <is>
          <t>sourced</t>
        </is>
      </c>
      <c r="I66" s="11" t="inlineStr">
        <is>
          <t>India's Central Electricity Authority puts average grid emissions at 0.675 tonnes of CO₂ per MWh for FY2025-26, the latest figure.</t>
        </is>
      </c>
      <c r="J66" s="11" t="inlineStr"/>
      <c r="K66" s="11" t="inlineStr">
        <is>
          <t>CO₂ Baseline Database v22.0 (Central Electricity Authority, 2026): FY2025-26 weighted average 0.675 tCO₂/MWh https://cea.nic.in/api/cdm-report-version/view-pdf/en/82</t>
        </is>
      </c>
      <c r="L66" s="11" t="inlineStr">
        <is>
          <t>CO₂ Baseline Database v21.0 (Central Electricity Authority, 2025): FY2024-25 weighted average 0.710; build margin 0.512 https://cea.nic.in/api/cdm-report-version/view-pdf/en/78</t>
        </is>
      </c>
      <c r="M66" s="11" t="inlineStr">
        <is>
          <t>CEA version 21 vs 22 grid factor revisions (Senseible, 2026): v22 FY26 0.675; excluding imports 0.678 https://senseible.earth/answers/cea-version-21-vs-22-grid-factor-revisions</t>
        </is>
      </c>
    </row>
    <row r="67">
      <c r="A67" s="11" t="inlineStr">
        <is>
          <t>scc_usd</t>
        </is>
      </c>
      <c r="B67" s="11" t="inlineStr">
        <is>
          <t>Carbon</t>
        </is>
      </c>
      <c r="C67" s="11" t="inlineStr">
        <is>
          <t>Social cost of carbon</t>
        </is>
      </c>
      <c r="D67" s="11" t="n">
        <v>255</v>
      </c>
      <c r="E67" s="11" t="n">
        <v>40</v>
      </c>
      <c r="F67" s="11" t="n">
        <v>425</v>
      </c>
      <c r="G67" s="11" t="inlineStr">
        <is>
          <t>$/tCO₂</t>
        </is>
      </c>
      <c r="H67" s="11" t="inlineStr">
        <is>
          <t>sourced</t>
        </is>
      </c>
      <c r="I67" s="11" t="inlineStr">
        <is>
          <t>Carbon dioxide does damage worldwide, so it is valued at global damages: the US EPA's 2023 central estimate for emissions in 2025–26, about $210 a tonne in 2020 dollars, or about $255 in 2026 dollars. The low end, about $40, is India's own share of global damages on the same basis. The high end, about $425, is EPA's value at a 1.5% discount rate.</t>
        </is>
      </c>
      <c r="J67" s="11" t="inlineStr">
        <is>
          <t>The US withdrew these estimates from federal use in 2025; the science behind them has not changed. Ricke et al. (2018) give India's country-level cost as about $86, but that sits on a scale whose global median is $417, so it is not comparable with EPA's figure.</t>
        </is>
      </c>
      <c r="K67" s="11" t="inlineStr">
        <is>
          <t>Report on the Social Cost of Greenhouse Gases (US EPA, 2023): SC-CO₂ for 2020 emissions: $120 / $190 / $340 at 2.5% / 2.0% / 1.5% (2020$) https://www.epa.gov/system/files/documents/2023-12/epa_scghg_2023_report_final.pdf</t>
        </is>
      </c>
      <c r="L67" s="11" t="inlineStr">
        <is>
          <t>Comprehensive evidence implies a higher social cost of CO₂ (Nature (Rennert et al.), 2022): Mean $185/tCO₂ (5-95%: $44-413) at 2% discount rate https://www.nature.com/articles/s41586-022-05224-9</t>
        </is>
      </c>
      <c r="M67" s="11" t="inlineStr">
        <is>
          <t>Country-level social cost of carbon (Nature Climate Change (Ricke et al.), 2018): India's country-level SCC is the world's highest, ~$86/tCO₂ (median as reported) https://ideas.repec.org/a/nat/natcli/v8y2018i10d10.1038_s41558-018-0282-y.html</t>
        </is>
      </c>
      <c r="N67" s="11" t="inlineStr">
        <is>
          <t>Social Cost of Greenhouse Gases: background and recent developments (Congressional Research Service, 2025): EO 14154 (20 Jan 2025) directed US agencies to stop using the SC-GHG estimates https://www.congress.gov/crs_external_products/IF/HTML/IF12916.html</t>
        </is>
      </c>
    </row>
    <row r="68">
      <c r="A68" s="11" t="inlineStr">
        <is>
          <t>fx</t>
        </is>
      </c>
      <c r="B68" s="11" t="inlineStr">
        <is>
          <t>Carbon</t>
        </is>
      </c>
      <c r="C68" s="11" t="inlineStr">
        <is>
          <t>Exchange rate (FBIL, 30 Oct 2026)</t>
        </is>
      </c>
      <c r="D68" s="11" t="n">
        <v>95.25</v>
      </c>
      <c r="E68" s="11" t="n">
        <v>94.40000000000001</v>
      </c>
      <c r="F68" s="11" t="n">
        <v>96.8</v>
      </c>
      <c r="G68" s="11" t="inlineStr">
        <is>
          <t>₹/$</t>
        </is>
      </c>
      <c r="H68" s="11" t="inlineStr">
        <is>
          <t>sourced</t>
        </is>
      </c>
      <c r="I68" s="11" t="inlineStr">
        <is>
          <t>Used only to turn the dollar carbon price into rupees. The official FBIL reference rate on 30 October 2026 was ₹95.25 per dollar.</t>
        </is>
      </c>
      <c r="J68" s="11" t="inlineStr"/>
      <c r="K68" s="11" t="inlineStr">
        <is>
          <t>FBIL reference rate (RBI homepage) (Reserve Bank of India / FBIL, 2026): ₹95.2492 per USD, 30 Oct 2026 https://www.rbi.org.in/</t>
        </is>
      </c>
      <c r="L68" s="11" t="inlineStr">
        <is>
          <t>USD to INR history 2026 (Pound Sterling Live, 2026): October 2026 range ~₹94.4-96.8 https://www.poundsterlinglive.com/history/USD-INR-2026</t>
        </is>
      </c>
    </row>
    <row r="69">
      <c r="A69" s="11" t="inlineStr">
        <is>
          <t>residual_rs_kl</t>
        </is>
      </c>
      <c r="B69" s="11" t="inlineStr">
        <is>
          <t>Climate and residual harm</t>
        </is>
      </c>
      <c r="C69" s="11" t="inlineStr">
        <is>
          <t>Residual harm after treating sewage to NGT norms</t>
        </is>
      </c>
      <c r="D69" s="11" t="n">
        <v>8</v>
      </c>
      <c r="E69" s="11" t="n">
        <v>3</v>
      </c>
      <c r="F69" s="11" t="n">
        <v>12</v>
      </c>
      <c r="G69" s="11" t="inlineStr">
        <is>
          <t>₹/kL sewage</t>
        </is>
      </c>
      <c r="H69" s="11" t="inlineStr">
        <is>
          <t>derived</t>
        </is>
      </c>
      <c r="I69" s="11" t="inlineStr">
        <is>
          <t>Even a plant meeting the strictest Indian norms still emits nitrous oxide and methane and releases some nitrogen and phosphorus. Priced with standard damage values, this comes to a few rupees per kilolitre of sewage.</t>
        </is>
      </c>
      <c r="J69" s="11" t="inlineStr">
        <is>
          <t>Worked with IPCC 2019 default factors and EPA damage values, the residual comes to about ₹8.7 per kL of sewage. The central value is set at 8, with a range of 3–12, because the nitrogen and sludge terms are uncertain.</t>
        </is>
      </c>
      <c r="K69" s="11" t="inlineStr">
        <is>
          <t>2019 Refinement, Vol 5 Ch 6: Wastewater Treatment and Discharge (IPCC, 2019): Table 6A.4: default N2O EF for domestic WWTPs 0.016 kg N2O-N/kg N (SD 0.012; range 0.00016-0.045) https://www.ipcc-nggip.iges.or.jp/public/2019rf/pdf/5_Volume5/19R_V5_6_Ch06_Wastewater.pdf</t>
        </is>
      </c>
      <c r="L69" s="11" t="inlineStr">
        <is>
          <t>Comment: Updated estimates of the social cost of greenhouse gases (Regulations.gov (EPA docket), 2023): Central EPA estimates for 2020 emissions: $190/t CO2, $1,600/t CH4, $54,000/t N2O https://downloads.regulations.gov/EPA-HQ-OAR-2023-0072-0618/attachment_1.pdf</t>
        </is>
      </c>
      <c r="M69" s="11" t="inlineStr">
        <is>
          <t>Impact assessment, proposal to recast the Urban Wastewater Treatment Directive (European Commission, 2022): Shadow prices used for benefits: €20 per kg N and €30 per kg P removed; GHG €100/t CO2e https://environment.ec.europa.eu/system/files/2022-10/Impact%20assessment%20accompanying%20the%20proposal.pdf</t>
        </is>
      </c>
      <c r="N69" s="11" t="inlineStr">
        <is>
          <t>Compendium of recycle and reuse of wastewater (NITI for States, 2022): Bengaluru STP inflows: total nitrogen 39-40 mg/L (e.g. Cubbon Park STP 40 mg/L in, &lt;10 out) https://www.nitiforstates.gov.in/public-assets/Policy/policy_files/RNC518E000039.pdf</t>
        </is>
      </c>
    </row>
    <row r="70">
      <c r="A70" s="11" t="inlineStr">
        <is>
          <t>re_share</t>
        </is>
      </c>
      <c r="B70" s="11" t="inlineStr">
        <is>
          <t>Climate and residual harm</t>
        </is>
      </c>
      <c r="C70" s="11" t="inlineStr">
        <is>
          <t>Share of BWSSB power bought from renewables</t>
        </is>
      </c>
      <c r="D70" s="11" t="n">
        <v>0</v>
      </c>
      <c r="E70" s="11" t="n">
        <v>0</v>
      </c>
      <c r="F70" s="11" t="n">
        <v>0</v>
      </c>
      <c r="G70" s="11" t="inlineStr">
        <is>
          <t>share</t>
        </is>
      </c>
      <c r="H70" s="11" t="inlineStr">
        <is>
          <t>policy</t>
        </is>
      </c>
      <c r="I70" s="11" t="inlineStr">
        <is>
          <t>BWSSB buys grid power today. It plans to run Stage VI pumping partly on solar, which would cut that scheme's power bill by about 30%; the slider shows what more green power would do to the carbon cost.</t>
        </is>
      </c>
      <c r="J70" s="11" t="inlineStr">
        <is>
          <t>Value 0 reflects today's grid purchases (the grid emission factor already counts the grid's own renewables). Stage VI estimate: ₹19.13 → ₹13.35 cr/month with solar. Green power from BESCOM costs 50 paise/unit extra; KERC's MW-scale solar benchmark is ₹3.04/unit vs the ₹6.25/kWh HT-1 energy charge.</t>
        </is>
      </c>
      <c r="K70" s="11" t="inlineStr">
        <is>
          <t>BWSSB plans solar-powered upgrade for Cauvery Stage 6 (Bangalore Mirror, 2025): Stages 1-5 power ~₹86.07 cr/month; Stage 6 (500 MLD) ₹19.13 cr/month on grid, ₹13.35 cr with solar; '₹5,177 crore DPR' https://bangaloremirror.indiatimes.com/bangalore/others/bwssb-plans-solar-powered-upgrade-for-cauvery-stage-6/articleshow/124278554.cms</t>
        </is>
      </c>
      <c r="L70" s="11" t="inlineStr">
        <is>
          <t>KERC Tariff Order 2025 (BESCOM) (KERC, 2025): Green tariff of 50 paise per unit over the normal tariff for HT consumers opting for green power https://kerc.karnataka.gov.in/uploads/96731743148968.pdf</t>
        </is>
      </c>
      <c r="M70" s="11" t="inlineStr">
        <is>
          <t>KERC generic tariff for solar projects (1 Jul 2025 - 30 Jun 2026) (KERC, 2025): MW-scale solar benchmark tariff ₹3.04/unit; solar with battery storage ₹5.66/unit https://kerc.karnataka.gov.in/uploads/media_to_upload1752057190.pdf</t>
        </is>
      </c>
    </row>
    <row r="71">
      <c r="A71" s="11" t="inlineStr">
        <is>
          <t>fixed_charge</t>
        </is>
      </c>
      <c r="B71" s="11" t="inlineStr">
        <is>
          <t>A tariff that would work</t>
        </is>
      </c>
      <c r="C71" s="11" t="inlineStr">
        <is>
          <t>Fixed charge per connection</t>
        </is>
      </c>
      <c r="D71" s="11" t="n">
        <v>100</v>
      </c>
      <c r="E71" s="11" t="n">
        <v>50</v>
      </c>
      <c r="F71" s="11" t="n">
        <v>150</v>
      </c>
      <c r="G71" s="11" t="inlineStr">
        <is>
          <t>₹/connection/month</t>
        </is>
      </c>
      <c r="H71" s="11" t="inlineStr">
        <is>
          <t>policy</t>
        </is>
      </c>
      <c r="I71" s="11" t="inlineStr">
        <is>
          <t>Much of a water system's cost is fixed, so many utilities charge a monthly fee per connection on top of the per-kilolitre rate. ₹100 is close to what Delhi charges and what BWSSB already collects as meter charges.</t>
        </is>
      </c>
      <c r="J71" s="11" t="inlineStr">
        <is>
          <t>BWSSB's meter charge today runs ₹30-150/month by slab; Delhi's service charge is ₹146.41 up to 20 kL. A high fixed charge falls hardest on small users, which is why it is kept modest.</t>
        </is>
      </c>
      <c r="K71" s="11" t="inlineStr">
        <is>
          <t>Revised Water Tariff Ready Reckoner 2025 (BWSSB, 2025): Domestic: 0-8 kL ₹8.5 (min ₹68), 8-25 ₹14, 25-50 ₹34, &gt;50 ₹55; sanitary ₹14 flat up to 8 kL; meter charge ₹30/50/75/150; bulk ₹99/kL; 3% auto increase each 1 April https://bwssb.karnataka.gov.in/storage/pdf-files/WaterTariff-2025.pdf</t>
        </is>
      </c>
      <c r="L71" s="11" t="inlineStr">
        <is>
          <t>Water tariff (Delhi Jal Board, 2026): Domestic service charge ₹146.41/month up to 20 kL (₹219.62 for 20-30 kL, ₹292.82 above 30); free up to 20 kL with a functional meter; above 20 kL full consumption billed https://delhijalboard.delhi.gov.in/jalboard/about-us</t>
        </is>
      </c>
      <c r="M71" s="11" t="inlineStr">
        <is>
          <t>Pricing Water Resources and Water and Sanitation Services (OECD, 2010): Countries are moving to 'two-part tariffs combining fixed charges and variable fees'; large share of fixed costs 'would call for their recovery through fixed charges' https://www.oecd.org/content/dam/oecd/en/publications/reports/2010/03/pricing-water-resources-and-water-and-sanitation-services_g1ghc680/9789264083608-en.pdf</t>
        </is>
      </c>
      <c r="N71" s="11" t="inlineStr">
        <is>
          <t>Addressing the social consequences of tariffs for water supply and sanitation (OECD, 2020): Financial sustainability 'is likely to be strengthened if the tariff also includes a recurrent fixed charge', but fixed charges may raise social issues https://one.oecd.org/document/ENV/WKP(2020)13/En/pdf</t>
        </is>
      </c>
    </row>
    <row r="72">
      <c r="A72" s="11" t="inlineStr">
        <is>
          <t>b1_top</t>
        </is>
      </c>
      <c r="B72" s="11" t="inlineStr">
        <is>
          <t>A tariff that would work</t>
        </is>
      </c>
      <c r="C72" s="11" t="inlineStr">
        <is>
          <t>Lifeline block: upper limit</t>
        </is>
      </c>
      <c r="D72" s="11" t="n">
        <v>10</v>
      </c>
      <c r="E72" s="11" t="n">
        <v>8</v>
      </c>
      <c r="F72" s="11" t="n">
        <v>15</v>
      </c>
      <c r="G72" s="11" t="inlineStr">
        <is>
          <t>kL/month</t>
        </is>
      </c>
      <c r="H72" s="11" t="inlineStr">
        <is>
          <t>policy</t>
        </is>
      </c>
      <c r="I72" s="11" t="inlineStr">
        <is>
          <t>The first block should cover essential use at a low price. 10 kL a month is about 83 litres per person per day for a family of four: above WHO's 50-litre basic level, below the 135-litre planning norm.</t>
        </is>
      </c>
      <c r="J72" s="11" t="inlineStr">
        <is>
          <t>4 × 50 L × 30 = 6 kL (WHO intermediate access); 4 × 100 L × 30 = 12 kL (top of OHCHR's 50-100 L); 4 × 135 L × 30 = 16.2 kL (CPHEEO). BWSSB's first slab is 8 kL; Delhi and Hyderabad give 20 kL free.</t>
        </is>
      </c>
      <c r="K72" s="11" t="inlineStr">
        <is>
          <t>Domestic water quantity, service level and health (2nd ed.) (WHO, 2020): Intermediate access: average quantity about 50 L/person/day; optimal access (multiple taps) 100+ L https://www.who.int/publications/i/item/9789240015241</t>
        </is>
      </c>
      <c r="L72" s="11" t="inlineStr">
        <is>
          <t>FAQ on the human right to water and sanitation (OHCHR, 2012): 20 L/person/day is a minimum; 'States should aim for at least 50 to 100 litres per person per day' https://www.ohchr.org/sites/default/files/Documents/Issues/Water/FAQWater_en.pdf</t>
        </is>
      </c>
      <c r="M72" s="11" t="inlineStr">
        <is>
          <t>Handbook on Service Level Benchmarking (MoUD (now MoHUA), 2010): Per capita supply of water: benchmark 135 lpcd https://mohua.gov.in/static/uploads/2025/10/627238a27786db8ce624ea6c3db6ae24.pdf</t>
        </is>
      </c>
      <c r="N72" s="11" t="inlineStr">
        <is>
          <t>Revised Water Tariff Ready Reckoner 2025 (BWSSB, 2025): Domestic: 0-8 kL ₹8.5 (min ₹68), 8-25 ₹14, 25-50 ₹34, &gt;50 ₹55; sanitary ₹14 flat up to 8 kL; meter charge ₹30/50/75/150; bulk ₹99/kL; 3% auto increase each 1 April https://bwssb.karnataka.gov.in/storage/pdf-files/WaterTariff-2025.pdf</t>
        </is>
      </c>
    </row>
    <row r="73">
      <c r="A73" s="11" t="inlineStr">
        <is>
          <t>b1_rate</t>
        </is>
      </c>
      <c r="B73" s="11" t="inlineStr">
        <is>
          <t>A tariff that would work</t>
        </is>
      </c>
      <c r="C73" s="11" t="inlineStr">
        <is>
          <t>Lifeline block: rate (all-in)</t>
        </is>
      </c>
      <c r="D73" s="11" t="n">
        <v>15</v>
      </c>
      <c r="E73" s="11" t="n">
        <v>8</v>
      </c>
      <c r="F73" s="11" t="n">
        <v>25</v>
      </c>
      <c r="G73" s="11" t="inlineStr">
        <is>
          <t>₹/kL</t>
        </is>
      </c>
      <c r="H73" s="11" t="inlineStr">
        <is>
          <t>policy</t>
        </is>
      </c>
      <c r="I73" s="11" t="inlineStr">
        <is>
          <t>Today a household using 8 kL pays about ₹14.3 per kL all-in (water, sanitary and meter charges). Keeping the lifeline near that level protects the poorest from any increase.</t>
        </is>
      </c>
      <c r="J73" s="11" t="inlineStr">
        <is>
          <t>FY27 bill at 8 kL: minimum ₹68 × 1.03 + sanitary ₹14 × 1.03 + meter ₹30 = ₹114.5 ÷ 8 = ₹14.3/kL. Chennai charges ₹8/kL up to 10 kL; Hyderabad ~₹10/kL with 20 kL free.</t>
        </is>
      </c>
      <c r="K73" s="11" t="inlineStr">
        <is>
          <t>Revised Water Tariff Ready Reckoner 2025 (BWSSB, 2025): Domestic: 0-8 kL ₹8.5 (min ₹68), 8-25 ₹14, 25-50 ₹34, &gt;50 ₹55; sanitary ₹14 flat up to 8 kL; meter charge ₹30/50/75/150; bulk ₹99/kL; 3% auto increase each 1 April https://bwssb.karnataka.gov.in/storage/pdf-files/WaterTariff-2025.pdf</t>
        </is>
      </c>
      <c r="L73" s="11" t="inlineStr">
        <is>
          <t>Water and sewerage tariff (CMWSSB (Chennai), 2026): Domestic: up to 10 kL ₹8/kL, 11-15 ₹20, 16-25 ₹32, above 25 ₹51; minimum ₹111/month incl. sewer https://cmwssb.tn.gov.in/tariff</t>
        </is>
      </c>
      <c r="M73" s="11" t="inlineStr">
        <is>
          <t>Water bills set to rise 5% every year as HMWSSB seeks to plug revenue gap (Times of India, 2026): Tariff about ₹10/kL; 20 kL free for about 5 lakh households; 5% annual hike https://timesofindia.indiatimes.com/city/hyderabad/water-bills-set-to-rise-5-every-yr-as-hmwssb-seeks-to-plug-revenue-gap/articleshow/134291436.cms</t>
        </is>
      </c>
    </row>
    <row r="74">
      <c r="A74" s="11" t="inlineStr">
        <is>
          <t>b2_top</t>
        </is>
      </c>
      <c r="B74" s="11" t="inlineStr">
        <is>
          <t>A tariff that would work</t>
        </is>
      </c>
      <c r="C74" s="11" t="inlineStr">
        <is>
          <t>Second block: upper limit</t>
        </is>
      </c>
      <c r="D74" s="11" t="n">
        <v>20</v>
      </c>
      <c r="E74" s="11" t="n">
        <v>15</v>
      </c>
      <c r="F74" s="11" t="n">
        <v>30</v>
      </c>
      <c r="G74" s="11" t="inlineStr">
        <is>
          <t>kL/month</t>
        </is>
      </c>
      <c r="H74" s="11" t="inlineStr">
        <is>
          <t>policy</t>
        </is>
      </c>
      <c r="I74" s="11" t="inlineStr">
        <is>
          <t>The second block covers ordinary family use up to the planning norm. A family of four at 135-150 litres a day uses 16-18 kL a month.</t>
        </is>
      </c>
      <c r="J74" s="11" t="inlineStr">
        <is>
          <t>4 × 135 × 30 = 16.2 kL; 4 × 150 × 30 = 18 kL. Delhi's tariff steps at 20 and 30 kL.</t>
        </is>
      </c>
      <c r="K74" s="11" t="inlineStr">
        <is>
          <t>Handbook on Service Level Benchmarking (MoUD (now MoHUA), 2010): Per capita supply of water: benchmark 135 lpcd https://mohua.gov.in/static/uploads/2025/10/627238a27786db8ce624ea6c3db6ae24.pdf</t>
        </is>
      </c>
      <c r="L74" s="11" t="inlineStr">
        <is>
          <t>CPHEEO Manual on Water Supply and Treatment (copy) (CPHEEO (Scribd copy), 1999): 135 lpcd for cities with sewerage; 150 lpcd for metropolitan and mega cities https://www.scribd.com/document/813009957/CPHEEO-Manual-on-Water-Supply</t>
        </is>
      </c>
      <c r="M74" s="11" t="inlineStr">
        <is>
          <t>Water tariff (Delhi Jal Board, 2026): Domestic service charge ₹146.41/month up to 20 kL (₹219.62 for 20-30 kL, ₹292.82 above 30); free up to 20 kL with a functional meter; above 20 kL full consumption billed https://delhijalboard.delhi.gov.in/jalboard/about-us</t>
        </is>
      </c>
    </row>
    <row r="75">
      <c r="A75" s="11" t="inlineStr">
        <is>
          <t>b2_rate</t>
        </is>
      </c>
      <c r="B75" s="11" t="inlineStr">
        <is>
          <t>A tariff that would work</t>
        </is>
      </c>
      <c r="C75" s="11" t="inlineStr">
        <is>
          <t>Second block: rate</t>
        </is>
      </c>
      <c r="D75" s="11" t="n">
        <v>60</v>
      </c>
      <c r="E75" s="11" t="n">
        <v>40</v>
      </c>
      <c r="F75" s="11" t="n">
        <v>80</v>
      </c>
      <c r="G75" s="11" t="inlineStr">
        <is>
          <t>₹/kL</t>
        </is>
      </c>
      <c r="H75" s="11" t="inlineStr">
        <is>
          <t>policy</t>
        </is>
      </c>
      <c r="I75" s="11" t="inlineStr">
        <is>
          <t>Normal household use should at least pay what it costs BWSSB to run the system today. BWSSB itself says it spends about ₹54 per kL; the model's cash cost per kL billed is about ₹62.</t>
        </is>
      </c>
      <c r="J75" s="11" t="inlineStr">
        <is>
          <t>Comparators: Chennai charges ₹51/kL above 25 kL; Delhi ₹26.36/kL (20-30 kL) plus 60% sewer = ₹42/kL plus service charge. ₹60 is roughly 4× today's ₹14/kL second slab.</t>
        </is>
      </c>
      <c r="K75" s="11" t="inlineStr">
        <is>
          <t>Water supply to core city ramped up (chairman interview) (New Indian Express, 2026): 'BWSSB spends around ₹54 per 1,000 litres to draw, treat and supply Cauvery water'; households pay ₹20-30/kL on average https://www.newindianexpress.com/cities/bengaluru/2026/May/18/water-supply-to-core-city-ramped-up-pipeline-network-for-suburbs-under-way-bwssb-chairman</t>
        </is>
      </c>
      <c r="L75" s="11" t="inlineStr">
        <is>
          <t>Water and sewerage tariff (CMWSSB (Chennai), 2026): Domestic: up to 10 kL ₹8/kL, 11-15 ₹20, 16-25 ₹32, above 25 ₹51; minimum ₹111/month incl. sewer https://cmwssb.tn.gov.in/tariff</t>
        </is>
      </c>
      <c r="M75" s="11" t="inlineStr">
        <is>
          <t>Economic Survey of Delhi 2023-24, Ch. 13 (Govt of NCT Delhi, 2024): Domestic tariff w.e.f. 01.02.2018: up to 20 kL ₹5.27/kL, 20-30 ₹26.36, &gt;30 ₹43.93 plus 60% sewer charge; non-domestic &gt;100 kL ₹175.69/kL https://delhiplanning.delhi.gov.in/sites/default/files/Planning/chapter_13.pdf</t>
        </is>
      </c>
    </row>
    <row r="76">
      <c r="A76" s="11" t="inlineStr">
        <is>
          <t>b3_top</t>
        </is>
      </c>
      <c r="B76" s="11" t="inlineStr">
        <is>
          <t>A tariff that would work</t>
        </is>
      </c>
      <c r="C76" s="11" t="inlineStr">
        <is>
          <t>Third block: upper limit</t>
        </is>
      </c>
      <c r="D76" s="11" t="n">
        <v>40</v>
      </c>
      <c r="E76" s="11" t="n">
        <v>30</v>
      </c>
      <c r="F76" s="11" t="n">
        <v>60</v>
      </c>
      <c r="G76" s="11" t="inlineStr">
        <is>
          <t>kL/month</t>
        </is>
      </c>
      <c r="H76" s="11" t="inlineStr">
        <is>
          <t>policy</t>
        </is>
      </c>
      <c r="I76" s="11" t="inlineStr">
        <is>
          <t>Above about 40 kL a month a household is watering gardens or filling tanks, which is discretionary use. BWSSB's own third slab runs 25-50 kL.</t>
        </is>
      </c>
      <c r="J76" s="11" t="inlineStr">
        <is>
          <t>40 kL is more than twice the 18 kL a family of four needs at 150 lpcd. Delhi's top slab starts at 30 kL.</t>
        </is>
      </c>
      <c r="K76" s="11" t="inlineStr">
        <is>
          <t>Revised Water Tariff Ready Reckoner 2025 (BWSSB, 2025): Domestic: 0-8 kL ₹8.5 (min ₹68), 8-25 ₹14, 25-50 ₹34, &gt;50 ₹55; sanitary ₹14 flat up to 8 kL; meter charge ₹30/50/75/150; bulk ₹99/kL; 3% auto increase each 1 April https://bwssb.karnataka.gov.in/storage/pdf-files/WaterTariff-2025.pdf</t>
        </is>
      </c>
      <c r="L76" s="11" t="inlineStr">
        <is>
          <t>CPHEEO Manual on Water Supply and Treatment (copy) (CPHEEO (Scribd copy), 1999): 135 lpcd for cities with sewerage; 150 lpcd for metropolitan and mega cities https://www.scribd.com/document/813009957/CPHEEO-Manual-on-Water-Supply</t>
        </is>
      </c>
      <c r="M76" s="11" t="inlineStr">
        <is>
          <t>Economic Survey of Delhi 2023-24, Ch. 13 (Govt of NCT Delhi, 2024): Domestic tariff w.e.f. 01.02.2018: up to 20 kL ₹5.27/kL, 20-30 ₹26.36, &gt;30 ₹43.93 plus 60% sewer charge; non-domestic &gt;100 kL ₹175.69/kL https://delhiplanning.delhi.gov.in/sites/default/files/Planning/chapter_13.pdf</t>
        </is>
      </c>
    </row>
    <row r="77">
      <c r="A77" s="11" t="inlineStr">
        <is>
          <t>b3_rate</t>
        </is>
      </c>
      <c r="B77" s="11" t="inlineStr">
        <is>
          <t>A tariff that would work</t>
        </is>
      </c>
      <c r="C77" s="11" t="inlineStr">
        <is>
          <t>Third block: rate</t>
        </is>
      </c>
      <c r="D77" s="11" t="n">
        <v>105</v>
      </c>
      <c r="E77" s="11" t="n">
        <v>90</v>
      </c>
      <c r="F77" s="11" t="n">
        <v>130</v>
      </c>
      <c r="G77" s="11" t="inlineStr">
        <is>
          <t>₹/kL</t>
        </is>
      </c>
      <c r="H77" s="11" t="inlineStr">
        <is>
          <t>policy</t>
        </is>
      </c>
      <c r="I77" s="11" t="inlineStr">
        <is>
          <t>Discretionary use should pay the full financial cost, including replacing pipes and plants and paying for capital. The model puts that at about ₹104 per kL billed; Biome's S. Vishwanath estimated ₹95.</t>
        </is>
      </c>
      <c r="J77" s="11" t="inlineStr">
        <is>
          <t>Comparators: BWSSB's bulk and non-domestic top rate is ₹99/kL; its own Sanchari Cauvery tanker sells 12 kL for ₹1,290 (≈₹107/kL).</t>
        </is>
      </c>
      <c r="K77" s="11" t="inlineStr">
        <is>
          <t>Should Bengalureans really worry about the Cauvery water tariff hike? (Citizen Matters, 2025): S. Vishwanath: true cost of supply plus sewerage about ₹95/kL; 'nearly ₹40/kL to treat wastewater' https://citizenmatters.in/should-bengalureans-really-worry-about-the-cauvery-water-tariff-hike/</t>
        </is>
      </c>
      <c r="L77" s="11" t="inlineStr">
        <is>
          <t>Revised Water Tariff Ready Reckoner 2025 (BWSSB, 2025): Domestic: 0-8 kL ₹8.5 (min ₹68), 8-25 ₹14, 25-50 ₹34, &gt;50 ₹55; sanitary ₹14 flat up to 8 kL; meter charge ₹30/50/75/150; bulk ₹99/kL; 3% auto increase each 1 April https://bwssb.karnataka.gov.in/storage/pdf-files/WaterTariff-2025.pdf</t>
        </is>
      </c>
      <c r="M77" s="11" t="inlineStr">
        <is>
          <t>BWSSB launches Sanchari Cauvery initiative (The Hindu, 2025): BWSSB tanker: 6 kL ₹740, 12 kL ₹1,290 within 2 km (≈ ₹107/kL) https://www.thehindu.com/news/cities/bangalore/amidst-rising-water-tanker-prices-bwssb-launches-sanchari-cauvery-initiative/article69557670.ece</t>
        </is>
      </c>
    </row>
    <row r="78">
      <c r="A78" s="11" t="inlineStr">
        <is>
          <t>b4_rate</t>
        </is>
      </c>
      <c r="B78" s="11" t="inlineStr">
        <is>
          <t>A tariff that would work</t>
        </is>
      </c>
      <c r="C78" s="11" t="inlineStr">
        <is>
          <t>Top block: rate</t>
        </is>
      </c>
      <c r="D78" s="11" t="n">
        <v>150</v>
      </c>
      <c r="E78" s="11" t="n">
        <v>110</v>
      </c>
      <c r="F78" s="11" t="n">
        <v>220</v>
      </c>
      <c r="G78" s="11" t="inlineStr">
        <is>
          <t>₹/kL</t>
        </is>
      </c>
      <c r="H78" s="11" t="inlineStr">
        <is>
          <t>policy</t>
        </is>
      </c>
      <c r="I78" s="11" t="inlineStr">
        <is>
          <t>The heaviest users should face the cost of bringing in the next source and the harm the system does. ₹150 a kL is about what a private water tanker charges in Bengaluru.</t>
        </is>
      </c>
      <c r="J78" s="11" t="inlineStr">
        <is>
          <t>Private 12 kL tankers: ₹1,600-1,800 (₹133-150/kL), up to ₹2,500 (₹208/kL). Delhi charges non-domestic users ₹175.69/kL above 100 kL; New York's water-only rate is ≈₹180/kL. The model's full economic cost is ~₹113/kL and full social cost ~₹189/kL.</t>
        </is>
      </c>
      <c r="K78" s="11" t="inlineStr">
        <is>
          <t>Long-term MoUs between Sanchari Cauvery and apartments (The Hindu, 2026): Private 12 kL tanker ₹1,600-1,800, touching ₹2,500 (≈ ₹133-208/kL); Sanchari ~₹1,300 https://www.thehindu.com/news/national/karnataka/long-term-mous-between-sanchari-cauvery-apartments-to-counter-skyrocketing-water-tanker-prices/article71278092.ece</t>
        </is>
      </c>
      <c r="L78" s="11" t="inlineStr">
        <is>
          <t>Economic Survey of Delhi 2023-24, Ch. 13 (Govt of NCT Delhi, 2024): Domestic tariff w.e.f. 01.02.2018: up to 20 kL ₹5.27/kL, 20-30 ₹26.36, &gt;30 ₹43.93 plus 60% sewer charge; non-domestic &gt;100 kL ₹175.69/kL https://delhiplanning.delhi.gov.in/sites/default/files/Planning/chapter_13.pdf</t>
        </is>
      </c>
      <c r="M78" s="11" t="inlineStr">
        <is>
          <t>FY2027 water and wastewater rate schedule (NYC Water Board, 2026): Water $5.35 per 100 cu ft (≈ $1.89/m³ ≈ ₹180/kL); sewer 159% of water https://www.nyc.gov/assets/nycwaterboard/downloads/pdf/rates/fy2027_rates.pdf</t>
        </is>
      </c>
    </row>
    <row r="79">
      <c r="A79" s="11" t="inlineStr">
        <is>
          <t>connections_lakh</t>
        </is>
      </c>
      <c r="B79" s="11" t="inlineStr">
        <is>
          <t>A tariff that would work</t>
        </is>
      </c>
      <c r="C79" s="11" t="inlineStr">
        <is>
          <t>Water connections</t>
        </is>
      </c>
      <c r="D79" s="11" t="n">
        <v>11.3</v>
      </c>
      <c r="E79" s="11" t="n">
        <v>10.7</v>
      </c>
      <c r="F79" s="11" t="n">
        <v>11.5</v>
      </c>
      <c r="G79" s="11" t="inlineStr">
        <is>
          <t>lakh</t>
        </is>
      </c>
      <c r="H79" s="11" t="inlineStr">
        <is>
          <t>sourced</t>
        </is>
      </c>
      <c r="I79" s="11" t="inlineStr">
        <is>
          <t>Used to size the lifeline subsidy. BWSSB had more than 11.3 lakh connections in September 2026, up from 10.7 lakh in July 2024 as Stage V connections were added.</t>
        </is>
      </c>
      <c r="J79" s="11" t="inlineStr"/>
      <c r="K79" s="11" t="inlineStr">
        <is>
          <t>BWSSB's ₹4.87 crore plan aims to cut household water use (Bangalore Mirror, 2026): More than 11.3 lakh connections https://bangaloremirror.indiatimes.com/bangalore/others/bwssbs-rs-4-87-crore-plan-aims-to-cut-household-water-use-by-up-to-25/articleshow/133812045.cms</t>
        </is>
      </c>
      <c r="L79" s="11" t="inlineStr">
        <is>
          <t>Presentation by Chief Engineer, BWSSB (BWSSB (via AMDA), 2024): 10.70 lakh house connections; 9.70 lakh sanitary connections https://amdaindia.org/wp-content/uploads/Presentation-by-Chief-Engineer-Bangalore-Water-Supply-and-Sewerage-Board-WATER-SENSITIVITY-MS-3rd-PPT-Part-II.pdf</t>
        </is>
      </c>
      <c r="M79" s="11" t="inlineStr">
        <is>
          <t>Cauvery in the pipeline, but 110 villages have connection problems (The Hindu, 2024): About 10.6 lakh connections, October 2024 https://www.thehindu.com/news/cities/bangalore/cauvery-in-the-pipeline-but-110-villages-on-bengalurus-outskirts-have-connection-problems/article68701995.ece</t>
        </is>
      </c>
    </row>
    <row r="80">
      <c r="A80" s="11" t="inlineStr">
        <is>
          <t>hh_size</t>
        </is>
      </c>
      <c r="B80" s="11" t="inlineStr">
        <is>
          <t>Households and affordability</t>
        </is>
      </c>
      <c r="C80" s="11" t="inlineStr">
        <is>
          <t>Persons per household, Bengaluru</t>
        </is>
      </c>
      <c r="D80" s="11" t="n">
        <v>4</v>
      </c>
      <c r="E80" s="11" t="n">
        <v>3.5</v>
      </c>
      <c r="F80" s="11" t="n">
        <v>4.5</v>
      </c>
      <c r="G80" s="11" t="inlineStr">
        <is>
          <t>persons</t>
        </is>
      </c>
      <c r="H80" s="11" t="inlineStr">
        <is>
          <t>reference</t>
        </is>
      </c>
      <c r="I80" s="11" t="inlineStr">
        <is>
          <t>The 2011 Census counted about 4.0 people per household in Bengaluru. Urban households have been shrinking since, so the range runs down to 3.5.</t>
        </is>
      </c>
      <c r="J80" s="11" t="inlineStr">
        <is>
          <t>NFHS-5 (2019-21) found 4.2 per household for Karnataka and 4.4 for India; a Bengaluru city figure exists in NFHS-5 CSVs on OpenCity but was not extracted.</t>
        </is>
      </c>
      <c r="K80" s="11" t="inlineStr">
        <is>
          <t>BBMP city population, Census 2011 (Census of India (via censusindia2011.com), 2011): 8,443,675 people in 2,101,831 households → 4.02 https://www.censusindia2011.com/karnataka/bangalore/no-sub-district/bbmp-m-corp-part-population.html</t>
        </is>
      </c>
      <c r="L80" s="11" t="inlineStr">
        <is>
          <t>Bengaluru Urban district (villageinfo.in (Census 2011), 2011): 23,93,845 households in Bengaluru Urban district https://villageinfo.in/karnataka/bengaluru-urban/</t>
        </is>
      </c>
      <c r="M80" s="11" t="inlineStr">
        <is>
          <t>Bengaluru Urban district (Wikipedia (Census 2011), 2011): Population 9,621,551 → 4.02 per household with the count above https://en.wikipedia.org/wiki/Bengaluru_Urban_district</t>
        </is>
      </c>
    </row>
    <row r="81">
      <c r="A81" s="11" t="inlineStr">
        <is>
          <t>lpcd_norm</t>
        </is>
      </c>
      <c r="B81" s="11" t="inlineStr">
        <is>
          <t>Households and affordability</t>
        </is>
      </c>
      <c r="C81" s="11" t="inlineStr">
        <is>
          <t>Water each person needs (CPHEEO norm)</t>
        </is>
      </c>
      <c r="D81" s="11" t="n">
        <v>135</v>
      </c>
      <c r="E81" s="11" t="n">
        <v>108</v>
      </c>
      <c r="F81" s="11" t="n">
        <v>150</v>
      </c>
      <c r="G81" s="11" t="inlineStr">
        <is>
          <t>litres/person/day</t>
        </is>
      </c>
      <c r="H81" s="11" t="inlineStr">
        <is>
          <t>reference</t>
        </is>
      </c>
      <c r="I81" s="11" t="inlineStr">
        <is>
          <t>India's planning norm is 135 litres per person per day for cities with sewers, and 150 for metros. Bengaluru's own average is 108.</t>
        </is>
      </c>
      <c r="J81" s="11" t="inlineStr">
        <is>
          <t>At 4 people × 135 lpcd × 30 days, a household uses about 16 kL a month.</t>
        </is>
      </c>
      <c r="K81" s="11" t="inlineStr">
        <is>
          <t>Handbook on Service Level Benchmarking (MoUD (now MoHUA), 2010): Per capita supply of water: benchmark 135 lpcd https://mohua.gov.in/static/uploads/2025/10/627238a27786db8ce624ea6c3db6ae24.pdf</t>
        </is>
      </c>
      <c r="L81" s="11" t="inlineStr">
        <is>
          <t>Per capita availability of water (Rajya Sabha reply) (PIB / Ministry of Jal Shakti, 2020): MoHUA suggests 135 lpcd as the urban benchmark https://www.pib.gov.in/PressReleasePage.aspx?PRID=1604871</t>
        </is>
      </c>
      <c r="M81" s="11" t="inlineStr">
        <is>
          <t>CPHEEO Manual on Water Supply and Treatment (copy) (CPHEEO (Scribd copy), 1999): 135 lpcd for cities with sewerage; 150 lpcd for metropolitan and mega cities https://www.scribd.com/document/813009957/CPHEEO-Manual-on-Water-Supply</t>
        </is>
      </c>
      <c r="N81" s="11" t="inlineStr">
        <is>
          <t>Presentation by Chief Engineer, BWSSB (BWSSB (via AMDA), 2024): Average per capita consumption 108 L/day https://amdaindia.org/wp-content/uploads/Presentation-by-Chief-Engineer-Bangalore-Water-Supply-and-Sewerage-Board-WATER-SENSITIVITY-MS-3rd-PPT-Part-II.pdf</t>
        </is>
      </c>
    </row>
    <row r="82">
      <c r="A82" s="11" t="inlineStr">
        <is>
          <t>hh_income_low</t>
        </is>
      </c>
      <c r="B82" s="11" t="inlineStr">
        <is>
          <t>Households and affordability</t>
        </is>
      </c>
      <c r="C82" s="11" t="inlineStr">
        <is>
          <t>Lower-income household income</t>
        </is>
      </c>
      <c r="D82" s="11" t="n">
        <v>25000</v>
      </c>
      <c r="E82" s="11" t="n">
        <v>15000</v>
      </c>
      <c r="F82" s="11" t="n">
        <v>35000</v>
      </c>
      <c r="G82" s="11" t="inlineStr">
        <is>
          <t>₹/month</t>
        </is>
      </c>
      <c r="H82" s="11" t="inlineStr">
        <is>
          <t>assumed</t>
        </is>
      </c>
      <c r="I82" s="11" t="inlineStr">
        <is>
          <t>Karnataka's May 2026 minimum wage for unskilled work in Bengaluru is ₹23,376 a month. A household with one such earner, plus a little extra, has about ₹25,000.</t>
        </is>
      </c>
      <c r="J82" s="11" t="inlineStr">
        <is>
          <t>The notification is being challenged in the High Court, and many informal workers earn below it; the low end (₹15,000) reflects that. No survey-based Bengaluru income distribution was found.</t>
        </is>
      </c>
      <c r="K82" s="11" t="inlineStr">
        <is>
          <t>Karnataka hikes minimum wages in 81 sectors by 60% (New Indian Express, 2026): Zone-1 Bengaluru unskilled ₹23,376/month; highly skilled ₹31,114 https://www.newindianexpress.com/story/states/karnataka/2026/may/24/karnataka-hikes-minimum-wages-in-81-sectors-by-60</t>
        </is>
      </c>
      <c r="L82" s="11" t="inlineStr">
        <is>
          <t>Karnataka notifies final minimum wages, average increase 60% (The Hindu, 2026): Final notification 22 May 2026: ₹19,300-31,100 per month https://www.thehindu.com/news/national/karnataka/karnataka-notifies-final-draft-of-minimum-wages-with-average-increase-of-60/article71011111.ece</t>
        </is>
      </c>
      <c r="M82" s="11" t="inlineStr">
        <is>
          <t>Single final notification on minimum wage rates (Karnataka Labour Department, 2026): Gazette text of the 22 May 2026 notification https://karmikaspandana.karnataka.gov.in/uploads/media_to_upload1780292271.pdf</t>
        </is>
      </c>
    </row>
    <row r="83">
      <c r="A83" s="11" t="inlineStr">
        <is>
          <t>hh_income_mid</t>
        </is>
      </c>
      <c r="B83" s="11" t="inlineStr">
        <is>
          <t>Households and affordability</t>
        </is>
      </c>
      <c r="C83" s="11" t="inlineStr">
        <is>
          <t>Middle-income household income</t>
        </is>
      </c>
      <c r="D83" s="11" t="n">
        <v>75000</v>
      </c>
      <c r="E83" s="11" t="n">
        <v>42000</v>
      </c>
      <c r="F83" s="11" t="n">
        <v>125000</v>
      </c>
      <c r="G83" s="11" t="inlineStr">
        <is>
          <t>₹/month</t>
        </is>
      </c>
      <c r="H83" s="11" t="inlineStr">
        <is>
          <t>assumed</t>
        </is>
      </c>
      <c r="I83" s="11" t="inlineStr">
        <is>
          <t>₹75,000 a month (₹9 lakh a year) is a typical middle-class Bengaluru household. It sits in PRICE's 'seeker' band of ₹5-15 lakh a year, well below the city's skewed average of ₹28 lakh.</t>
        </is>
      </c>
      <c r="J83" s="11" t="inlineStr">
        <is>
          <t>The ₹28 lakh figure is a mean pulled up by high earners; a median was not found. The range ₹42,000-1,25,000/month is the seeker band in 2020-21 rupees.</t>
        </is>
      </c>
      <c r="K83" s="11" t="inlineStr">
        <is>
          <t>India's Middle Class: executive summary (ICE 360) (PRICE, 2023): Middle class ₹5-30 lakh/yr household income; 'seekers' ₹5-15 lakh (2020-21 prices) https://price360.in/Executive_Summary_Middle_Class.pdf</t>
        </is>
      </c>
      <c r="L83" s="11" t="inlineStr">
        <is>
          <t>Bengaluru, Chandigarh pip Mumbai, Delhi in average household income (Business Standard, 2026): Bengaluru average household income ₹28.3 lakh/yr (FY25-26, PRICE with Tata Sons) https://www.business-standard.com/finance/personal-finance/bengaluru-chandigarh-pip-mumbai-delhi-in-average-household-income-study-126071300629_1.html</t>
        </is>
      </c>
      <c r="M83" s="11" t="inlineStr">
        <is>
          <t>Metros dominate incomes (The Many Urban Indias) (Moneycontrol, 2026): Bengaluru and Chandigarh highest average household income, ~₹28 lakh/yr https://www.moneycontrol.com/news/business/economy/metros-dominate-incomes-but-tiruppur-and-surat-outshine-in-household-spending-price-report-13965832.html</t>
        </is>
      </c>
    </row>
    <row r="84">
      <c r="A84" s="11" t="inlineStr">
        <is>
          <t>afford_pct</t>
        </is>
      </c>
      <c r="B84" s="11" t="inlineStr">
        <is>
          <t>Households and affordability</t>
        </is>
      </c>
      <c r="C84" s="11" t="inlineStr">
        <is>
          <t>Affordability threshold (share of income)</t>
        </is>
      </c>
      <c r="D84" s="11" t="n">
        <v>0.03</v>
      </c>
      <c r="E84" s="11" t="n">
        <v>0.03</v>
      </c>
      <c r="F84" s="11" t="n">
        <v>0.05</v>
      </c>
      <c r="G84" s="11" t="inlineStr">
        <is>
          <t>share of income</t>
        </is>
      </c>
      <c r="H84" s="11" t="inlineStr">
        <is>
          <t>sourced</t>
        </is>
      </c>
      <c r="I84" s="11" t="inlineStr">
        <is>
          <t>The UN suggests a household should not spend more than about 3% of its income on water; World Bank work uses up to 5%. Above that, water is unaffordable.</t>
        </is>
      </c>
      <c r="J84" s="11" t="inlineStr"/>
      <c r="K84" s="11" t="inlineStr">
        <is>
          <t>Human Development Report 2006 (summary) (UNDP, 2006): Target ceiling of 3% for the share of household income spent on water https://hdr.undp.org/system/files/documents/human-development-report-2006-summary-english.human-development-report-2006-summary-english</t>
        </is>
      </c>
      <c r="L84" s="11" t="inlineStr">
        <is>
          <t>Human Development Report 2006 (full report) (UNDP, 2006): Cites Foster &amp; Yepes (World Bank) defining affordability as water at most 5% of income https://files.acquia.undp.org/public/migration/tr/HDR06-complete.pdf</t>
        </is>
      </c>
      <c r="M84" s="11" t="inlineStr">
        <is>
          <t>Pricing Water Resources and Water and Sanitation Services (OECD, 2010): No official threshold; Portugal's regulator used 3% of disposable income https://www.oecd.org/content/dam/oecd/en/publications/reports/2010/03/pricing-water-resources-and-water-and-sanitation-services_g1ghc680/9789264083608-en.pdf</t>
        </is>
      </c>
      <c r="N84" s="11" t="inlineStr">
        <is>
          <t>Water Affordability Needs Assessment (US EPA, 2024): Uses 3% and 4.5% of household income for water + wastewater https://www.epa.gov/waterfinancecenter/water-affordability-needs-assessment</t>
        </is>
      </c>
    </row>
    <row r="85">
      <c r="A85" s="11" t="inlineStr">
        <is>
          <t>tanker_rs_kl</t>
        </is>
      </c>
      <c r="B85" s="11" t="inlineStr">
        <is>
          <t>Households and affordability</t>
        </is>
      </c>
      <c r="C85" s="11" t="inlineStr">
        <is>
          <t>Private tanker water price (2025-26)</t>
        </is>
      </c>
      <c r="D85" s="11" t="n">
        <v>140</v>
      </c>
      <c r="E85" s="11" t="n">
        <v>115</v>
      </c>
      <c r="F85" s="11" t="n">
        <v>210</v>
      </c>
      <c r="G85" s="11" t="inlineStr">
        <is>
          <t>₹/kL</t>
        </is>
      </c>
      <c r="H85" s="11" t="inlineStr">
        <is>
          <t>reference</t>
        </is>
      </c>
      <c r="I85" s="11" t="inlineStr">
        <is>
          <t>A 12,000-litre private tanker costs ₹1,600-1,800 in 2026, about ₹140 per kL, and up to ₹2,500 in bad weeks. That is several times the piped tariff.</t>
        </is>
      </c>
      <c r="J85" s="11" t="inlineStr">
        <is>
          <t>₹/kL is our arithmetic: ₹1,700 ÷ 12 kL ≈ ₹142. In the 2024 crisis, 6 kL went for up to ₹3,000 (₹500/kL).</t>
        </is>
      </c>
      <c r="K85" s="11" t="inlineStr">
        <is>
          <t>Long-term MoUs between Sanchari Cauvery and apartments (The Hindu, 2026): Private 12 kL ₹1,600-1,800, touching ₹2,500 https://www.thehindu.com/news/national/karnataka/long-term-mous-between-sanchari-cauvery-apartments-to-counter-skyrocketing-water-tanker-prices/article71278092.ece</t>
        </is>
      </c>
      <c r="L85" s="11" t="inlineStr">
        <is>
          <t>Residents struggle to pay soaring water tanker costs (Deccan Herald, 2025): 6 kL ₹600-650; 12 kL ~₹1,400 https://www.deccanherald.com/india/karnataka/bengaluru/heat-burns-the-pocket-residents-struggle-to-pay-soaring-water-tanker-costs-3450484</t>
        </is>
      </c>
      <c r="M85" s="11" t="inlineStr">
        <is>
          <t>Karnataka govt caps tanker water prices (New Indian Express, 2024): 2024 cap: 12 kL ₹1,000 (≤5 km) / ₹1,200 (5-10 km) https://www.newindianexpress.com/states/karnataka/2024/Mar/08/karnataka-govt-acts-caps-tanker-water-prices</t>
        </is>
      </c>
    </row>
    <row r="86">
      <c r="A86" s="11" t="inlineStr">
        <is>
          <t>sanchari_rs_kl</t>
        </is>
      </c>
      <c r="B86" s="11" t="inlineStr">
        <is>
          <t>Households and affordability</t>
        </is>
      </c>
      <c r="C86" s="11" t="inlineStr">
        <is>
          <t>BWSSB Sanchari Cauvery tanker price</t>
        </is>
      </c>
      <c r="D86" s="11" t="n">
        <v>108</v>
      </c>
      <c r="E86" s="11" t="n">
        <v>107</v>
      </c>
      <c r="F86" s="11" t="n">
        <v>165</v>
      </c>
      <c r="G86" s="11" t="inlineStr">
        <is>
          <t>₹/kL</t>
        </is>
      </c>
      <c r="H86" s="11" t="inlineStr">
        <is>
          <t>reference</t>
        </is>
      </c>
      <c r="I86" s="11" t="inlineStr">
        <is>
          <t>BWSSB's own tankers sell treated Cauvery water at ₹1,290 for 12,000 litres within 2 km, about ₹108 per kL; small loads cost more per kL.</t>
        </is>
      </c>
      <c r="J86" s="11" t="inlineStr">
        <is>
          <t>₹1,290 ÷ 12 = ₹107.5/kL; ₹660 ÷ 4 = ₹165/kL. Distance charges beyond 2 km add more.</t>
        </is>
      </c>
      <c r="K86" s="11" t="inlineStr">
        <is>
          <t>Amidst rising water tanker prices, BWSSB launches Sanchari Cauvery (The Hindu, 2025): 4 kL ₹660; 5 kL ₹700; 6 kL ₹740; 12 kL ₹1,290 within 2 km, then +₹70/km https://www.thehindu.com/news/cities/bangalore/amidst-rising-water-tanker-prices-bwssb-launches-sanchari-cauvery-initiative/article69557670.ece</t>
        </is>
      </c>
      <c r="L86" s="11" t="inlineStr">
        <is>
          <t>Sanchari Cauvery reshapes city's tanker-driven market (Bangalore Mirror, 2025): 24,743 bookings and ₹2.5 cr earned by Nov 2025 https://bangaloremirror.indiatimes.com/bangalore/civic/sanchari-cauvery-reshapes-citys-tanker-driven-market/articleshow/125667652.cms</t>
        </is>
      </c>
      <c r="M86" s="11" t="inlineStr">
        <is>
          <t>Long-term MoUs between Sanchari Cauvery and apartments (The Hindu, 2026): Sanchari 12 kL about ₹1,300 vs private ₹1,600-1,800 https://www.thehindu.com/news/national/karnataka/long-term-mous-between-sanchari-cauvery-apartments-to-counter-skyrocketing-water-tanker-prices/article71278092.ece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2026-10-30T09:06:23Z</dcterms:created>
  <dcterms:modified xmlns:dcterms="http://purl.org/dc/terms/" xmlns:xsi="http://www.w3.org/2001/XMLSchema-instance" xsi:type="dcterms:W3CDTF">2026-10-30T09:06:23Z</dcterms:modified>
</cp:coreProperties>
</file>